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chartsheets/sheet18.xml" ContentType="application/vnd.openxmlformats-officedocument.spreadsheetml.chartsheet+xml"/>
  <Override PartName="/xl/chartsheets/sheet19.xml" ContentType="application/vnd.openxmlformats-officedocument.spreadsheetml.chartsheet+xml"/>
  <Override PartName="/xl/chartsheets/sheet20.xml" ContentType="application/vnd.openxmlformats-officedocument.spreadsheetml.chartsheet+xml"/>
  <Override PartName="/xl/chartsheets/sheet2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drawings/drawing8.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6.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7.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8.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9.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0.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1.xml" ContentType="application/vnd.openxmlformats-officedocument.drawing+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King Castro\Dropbox (TAG)\Internal TAG Covid-19 Documents\Risk Matrix\_Template\"/>
    </mc:Choice>
  </mc:AlternateContent>
  <xr:revisionPtr revIDLastSave="0" documentId="13_ncr:1_{21F43191-E3E6-46AD-B31E-141F8856205C}" xr6:coauthVersionLast="45" xr6:coauthVersionMax="45" xr10:uidLastSave="{00000000-0000-0000-0000-000000000000}"/>
  <bookViews>
    <workbookView xWindow="28680" yWindow="-120" windowWidth="29040" windowHeight="15840" tabRatio="807" activeTab="1" xr2:uid="{00000000-000D-0000-FFFF-FFFF00000000}"/>
  </bookViews>
  <sheets>
    <sheet name="DATA LINKS" sheetId="66" r:id="rId1"/>
    <sheet name="Stratified Scenario Model" sheetId="5" r:id="rId2"/>
    <sheet name="Stratified Scenario Model PEP" sheetId="31" r:id="rId3"/>
    <sheet name="Stratified Scenario Model Kerry" sheetId="32" r:id="rId4"/>
    <sheet name="High Risk Quadrant" sheetId="12" r:id="rId5"/>
    <sheet name="Lower Risk Quadrant" sheetId="14" r:id="rId6"/>
    <sheet name="Medium Risk Quadrant" sheetId="13" r:id="rId7"/>
    <sheet name="Medium Risk Quadrant TPR" sheetId="24" r:id="rId8"/>
    <sheet name="Medium Risk Quadrant TPR PEP" sheetId="41" r:id="rId9"/>
    <sheet name="Medium Risk Quadrant TPR Kerry" sheetId="40" r:id="rId10"/>
    <sheet name="Highest Risk Quadrant" sheetId="22" r:id="rId11"/>
    <sheet name="Highest Risk Quadrant TPR" sheetId="23" r:id="rId12"/>
    <sheet name="Highest Risk Quadrant TPR PEP" sheetId="36" r:id="rId13"/>
    <sheet name="Highest Risk Quadrant TPR Kerry" sheetId="37" r:id="rId14"/>
    <sheet name="All TPR " sheetId="44" r:id="rId15"/>
    <sheet name="All TPR PEP " sheetId="45" r:id="rId16"/>
    <sheet name="All TPR Kerry" sheetId="46" r:id="rId17"/>
    <sheet name="FourQuadrant Cuml Death Rate" sheetId="18" r:id="rId18"/>
    <sheet name="FourQuadrant 7 day" sheetId="7" r:id="rId19"/>
    <sheet name="Tests Per 100K Population" sheetId="20" r:id="rId20"/>
    <sheet name="Tests Per 100K Pop PEP" sheetId="28" r:id="rId21"/>
    <sheet name="Tests Per 100K Pop Kerry" sheetId="63" r:id="rId22"/>
    <sheet name="Positive Tests Per 100K " sheetId="21" r:id="rId23"/>
    <sheet name="Positive Tests Per 100K PEP" sheetId="25" r:id="rId24"/>
    <sheet name="Positive Tests Per 100K Kerry" sheetId="26" r:id="rId25"/>
    <sheet name="Census Data" sheetId="4" r:id="rId26"/>
    <sheet name="NST01" sheetId="3" r:id="rId27"/>
  </sheets>
  <definedNames>
    <definedName name="_xlnm._FilterDatabase" localSheetId="25" hidden="1">'Census Data'!$A$1:$M$1</definedName>
    <definedName name="_NST01">'NST01'!$A$4:$N$63</definedName>
    <definedName name="ExternalData_1" localSheetId="0" hidden="1">'DATA LINKS'!$B$3:$D$54</definedName>
    <definedName name="_xlnm.Print_Area" localSheetId="26">'NST01'!$A$2:$N$68</definedName>
    <definedName name="_xlnm.Print_Titles" localSheetId="26">'NST01'!$A:$A,'NST01'!$2:$4</definedName>
  </definedNames>
  <calcPr calcId="191028"/>
  <pivotCaches>
    <pivotCache cacheId="0" r:id="rId28"/>
    <pivotCache cacheId="1" r:id="rId2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7" i="32" l="1"/>
  <c r="D36" i="32"/>
  <c r="D35" i="32"/>
  <c r="D34" i="32"/>
  <c r="D33" i="32"/>
  <c r="D32" i="32"/>
  <c r="D31" i="32"/>
  <c r="D30" i="32"/>
  <c r="D29" i="32"/>
  <c r="D28" i="32"/>
  <c r="D27" i="32"/>
  <c r="D26" i="32"/>
  <c r="D25" i="32"/>
  <c r="D24" i="32"/>
  <c r="D23" i="32"/>
  <c r="D22" i="32"/>
  <c r="D21" i="32"/>
  <c r="D20" i="32"/>
  <c r="D19" i="32"/>
  <c r="D18" i="32"/>
  <c r="D17" i="32"/>
  <c r="D16" i="32"/>
  <c r="E37" i="32"/>
  <c r="E36" i="32"/>
  <c r="E35" i="32"/>
  <c r="E34" i="32"/>
  <c r="E33" i="32"/>
  <c r="E32" i="32"/>
  <c r="E31" i="32"/>
  <c r="E30" i="32"/>
  <c r="E29" i="32"/>
  <c r="E28" i="32"/>
  <c r="E27" i="32"/>
  <c r="E26" i="32"/>
  <c r="E25" i="32"/>
  <c r="E24" i="32"/>
  <c r="E23" i="32"/>
  <c r="E22" i="32"/>
  <c r="E21" i="32"/>
  <c r="E20" i="32"/>
  <c r="E19" i="32"/>
  <c r="E18" i="32"/>
  <c r="E17" i="32"/>
  <c r="E16" i="32"/>
  <c r="F37" i="32"/>
  <c r="F36" i="32"/>
  <c r="F35" i="32"/>
  <c r="F34" i="32"/>
  <c r="F33" i="32"/>
  <c r="F32" i="32"/>
  <c r="F31" i="32"/>
  <c r="F30" i="32"/>
  <c r="F29" i="32"/>
  <c r="F28" i="32"/>
  <c r="F27" i="32"/>
  <c r="F26" i="32"/>
  <c r="F25" i="32"/>
  <c r="F24" i="32"/>
  <c r="F23" i="32"/>
  <c r="F22" i="32"/>
  <c r="F21" i="32"/>
  <c r="F20" i="32"/>
  <c r="F19" i="32"/>
  <c r="F18" i="32"/>
  <c r="F17" i="32"/>
  <c r="F16" i="32"/>
  <c r="G37" i="32"/>
  <c r="G36" i="32"/>
  <c r="G35" i="32"/>
  <c r="G34" i="32"/>
  <c r="G33" i="32"/>
  <c r="G32" i="32"/>
  <c r="G31" i="32"/>
  <c r="G30" i="32"/>
  <c r="G29" i="32"/>
  <c r="G28" i="32"/>
  <c r="G27" i="32"/>
  <c r="G26" i="32"/>
  <c r="G25" i="32"/>
  <c r="G24" i="32"/>
  <c r="G23" i="32"/>
  <c r="G22" i="32"/>
  <c r="G21" i="32"/>
  <c r="G20" i="32"/>
  <c r="G19" i="32"/>
  <c r="G18" i="32"/>
  <c r="G17" i="32"/>
  <c r="G16" i="32"/>
  <c r="H37" i="32"/>
  <c r="H36" i="32"/>
  <c r="H35" i="32"/>
  <c r="H34" i="32"/>
  <c r="H33" i="32"/>
  <c r="H32" i="32"/>
  <c r="H31" i="32"/>
  <c r="H30" i="32"/>
  <c r="H29" i="32"/>
  <c r="H28" i="32"/>
  <c r="H27" i="32"/>
  <c r="H26" i="32"/>
  <c r="H25" i="32"/>
  <c r="H24" i="32"/>
  <c r="H23" i="32"/>
  <c r="H22" i="32"/>
  <c r="H21" i="32"/>
  <c r="H20" i="32"/>
  <c r="H19" i="32"/>
  <c r="H18" i="32"/>
  <c r="H17" i="32"/>
  <c r="H16" i="32"/>
  <c r="I37" i="32"/>
  <c r="I36" i="32"/>
  <c r="I35" i="32"/>
  <c r="I34" i="32"/>
  <c r="I33" i="32"/>
  <c r="I32" i="32"/>
  <c r="I31" i="32"/>
  <c r="I30" i="32"/>
  <c r="I29" i="32"/>
  <c r="I28" i="32"/>
  <c r="I27" i="32"/>
  <c r="I26" i="32"/>
  <c r="I25" i="32"/>
  <c r="I24" i="32"/>
  <c r="I23" i="32"/>
  <c r="I22" i="32"/>
  <c r="I21" i="32"/>
  <c r="I20" i="32"/>
  <c r="I19" i="32"/>
  <c r="I18" i="32"/>
  <c r="I17" i="32"/>
  <c r="I16" i="32"/>
  <c r="J37" i="32"/>
  <c r="J36" i="32"/>
  <c r="J35" i="32"/>
  <c r="J34" i="32"/>
  <c r="J33" i="32"/>
  <c r="J32" i="32"/>
  <c r="J31" i="32"/>
  <c r="J30" i="32"/>
  <c r="J29" i="32"/>
  <c r="J28" i="32"/>
  <c r="J27" i="32"/>
  <c r="J26" i="32"/>
  <c r="J25" i="32"/>
  <c r="J24" i="32"/>
  <c r="J23" i="32"/>
  <c r="J22" i="32"/>
  <c r="J21" i="32"/>
  <c r="J20" i="32"/>
  <c r="J19" i="32"/>
  <c r="J18" i="32"/>
  <c r="J17" i="32"/>
  <c r="J16" i="32"/>
  <c r="K37" i="32"/>
  <c r="K36" i="32"/>
  <c r="K35" i="32"/>
  <c r="K34" i="32"/>
  <c r="K33" i="32"/>
  <c r="K32" i="32"/>
  <c r="K31" i="32"/>
  <c r="K30" i="32"/>
  <c r="K29" i="32"/>
  <c r="K28" i="32"/>
  <c r="K27" i="32"/>
  <c r="K26" i="32"/>
  <c r="K25" i="32"/>
  <c r="K24" i="32"/>
  <c r="K23" i="32"/>
  <c r="K22" i="32"/>
  <c r="K21" i="32"/>
  <c r="K20" i="32"/>
  <c r="K19" i="32"/>
  <c r="K18" i="32"/>
  <c r="K17" i="32"/>
  <c r="K16" i="32"/>
  <c r="L37" i="32"/>
  <c r="L36" i="32"/>
  <c r="L35" i="32"/>
  <c r="L34" i="32"/>
  <c r="L33" i="32"/>
  <c r="L32" i="32"/>
  <c r="L31" i="32"/>
  <c r="L30" i="32"/>
  <c r="L29" i="32"/>
  <c r="L28" i="32"/>
  <c r="L27" i="32"/>
  <c r="L26" i="32"/>
  <c r="L25" i="32"/>
  <c r="L24" i="32"/>
  <c r="L23" i="32"/>
  <c r="L22" i="32"/>
  <c r="L21" i="32"/>
  <c r="L20" i="32"/>
  <c r="L19" i="32"/>
  <c r="L18" i="32"/>
  <c r="L17" i="32"/>
  <c r="L16" i="32"/>
  <c r="M37" i="32"/>
  <c r="M36" i="32"/>
  <c r="M35" i="32"/>
  <c r="M34" i="32"/>
  <c r="M33" i="32"/>
  <c r="M32" i="32"/>
  <c r="M31" i="32"/>
  <c r="M30" i="32"/>
  <c r="M29" i="32"/>
  <c r="M28" i="32"/>
  <c r="M27" i="32"/>
  <c r="M26" i="32"/>
  <c r="M25" i="32"/>
  <c r="M24" i="32"/>
  <c r="M23" i="32"/>
  <c r="M22" i="32"/>
  <c r="M21" i="32"/>
  <c r="M20" i="32"/>
  <c r="M19" i="32"/>
  <c r="M18" i="32"/>
  <c r="M17" i="32"/>
  <c r="M16" i="32"/>
  <c r="N37" i="32"/>
  <c r="N36" i="32"/>
  <c r="N35" i="32"/>
  <c r="N34" i="32"/>
  <c r="N33" i="32"/>
  <c r="N32" i="32"/>
  <c r="N31" i="32"/>
  <c r="N30" i="32"/>
  <c r="N29" i="32"/>
  <c r="N28" i="32"/>
  <c r="N27" i="32"/>
  <c r="N26" i="32"/>
  <c r="N25" i="32"/>
  <c r="N24" i="32"/>
  <c r="N23" i="32"/>
  <c r="N22" i="32"/>
  <c r="N21" i="32"/>
  <c r="N20" i="32"/>
  <c r="N19" i="32"/>
  <c r="N18" i="32"/>
  <c r="N17" i="32"/>
  <c r="N16" i="32"/>
  <c r="O37" i="32"/>
  <c r="O36" i="32"/>
  <c r="O35" i="32"/>
  <c r="O34" i="32"/>
  <c r="O33" i="32"/>
  <c r="O32" i="32"/>
  <c r="O31" i="32"/>
  <c r="O30" i="32"/>
  <c r="O29" i="32"/>
  <c r="O28" i="32"/>
  <c r="O27" i="32"/>
  <c r="O26" i="32"/>
  <c r="O25" i="32"/>
  <c r="O24" i="32"/>
  <c r="O23" i="32"/>
  <c r="O22" i="32"/>
  <c r="O21" i="32"/>
  <c r="O20" i="32"/>
  <c r="O19" i="32"/>
  <c r="O18" i="32"/>
  <c r="O17" i="32"/>
  <c r="O16" i="32"/>
  <c r="P37" i="32"/>
  <c r="P36" i="32"/>
  <c r="P35" i="32"/>
  <c r="P34" i="32"/>
  <c r="P33" i="32"/>
  <c r="P32" i="32"/>
  <c r="P31" i="32"/>
  <c r="P30" i="32"/>
  <c r="P29" i="32"/>
  <c r="P28" i="32"/>
  <c r="P27" i="32"/>
  <c r="P26" i="32"/>
  <c r="P25" i="32"/>
  <c r="P24" i="32"/>
  <c r="P23" i="32"/>
  <c r="P22" i="32"/>
  <c r="P21" i="32"/>
  <c r="P20" i="32"/>
  <c r="P19" i="32"/>
  <c r="P18" i="32"/>
  <c r="P17" i="32"/>
  <c r="P16" i="32"/>
  <c r="Q37" i="32"/>
  <c r="Q36" i="32"/>
  <c r="Q35" i="32"/>
  <c r="Q34" i="32"/>
  <c r="Q33" i="32"/>
  <c r="Q32" i="32"/>
  <c r="Q31" i="32"/>
  <c r="Q30" i="32"/>
  <c r="Q29" i="32"/>
  <c r="Q28" i="32"/>
  <c r="Q27" i="32"/>
  <c r="Q26" i="32"/>
  <c r="Q25" i="32"/>
  <c r="Q24" i="32"/>
  <c r="Q23" i="32"/>
  <c r="Q22" i="32"/>
  <c r="Q21" i="32"/>
  <c r="Q20" i="32"/>
  <c r="Q19" i="32"/>
  <c r="Q18" i="32"/>
  <c r="Q17" i="32"/>
  <c r="Q16" i="32"/>
  <c r="R37" i="32"/>
  <c r="R36" i="32"/>
  <c r="R35" i="32"/>
  <c r="R34" i="32"/>
  <c r="R33" i="32"/>
  <c r="R32" i="32"/>
  <c r="R31" i="32"/>
  <c r="R30" i="32"/>
  <c r="R29" i="32"/>
  <c r="R28" i="32"/>
  <c r="R27" i="32"/>
  <c r="R26" i="32"/>
  <c r="R25" i="32"/>
  <c r="R24" i="32"/>
  <c r="R23" i="32"/>
  <c r="R22" i="32"/>
  <c r="R21" i="32"/>
  <c r="R20" i="32"/>
  <c r="R19" i="32"/>
  <c r="R18" i="32"/>
  <c r="R17" i="32"/>
  <c r="R16" i="32"/>
  <c r="S37" i="32"/>
  <c r="S36" i="32"/>
  <c r="S35" i="32"/>
  <c r="S34" i="32"/>
  <c r="S33" i="32"/>
  <c r="S32" i="32"/>
  <c r="S31" i="32"/>
  <c r="S30" i="32"/>
  <c r="S29" i="32"/>
  <c r="S28" i="32"/>
  <c r="S27" i="32"/>
  <c r="S26" i="32"/>
  <c r="S25" i="32"/>
  <c r="S24" i="32"/>
  <c r="S23" i="32"/>
  <c r="S22" i="32"/>
  <c r="S21" i="32"/>
  <c r="S20" i="32"/>
  <c r="S19" i="32"/>
  <c r="S18" i="32"/>
  <c r="S17" i="32"/>
  <c r="S16" i="32"/>
  <c r="T37" i="32"/>
  <c r="T36" i="32"/>
  <c r="T35" i="32"/>
  <c r="T34" i="32"/>
  <c r="T33" i="32"/>
  <c r="T32" i="32"/>
  <c r="T31" i="32"/>
  <c r="T30" i="32"/>
  <c r="T29" i="32"/>
  <c r="T28" i="32"/>
  <c r="T27" i="32"/>
  <c r="T26" i="32"/>
  <c r="T25" i="32"/>
  <c r="T24" i="32"/>
  <c r="T23" i="32"/>
  <c r="T22" i="32"/>
  <c r="T21" i="32"/>
  <c r="T20" i="32"/>
  <c r="T19" i="32"/>
  <c r="T18" i="32"/>
  <c r="T17" i="32"/>
  <c r="T16" i="32"/>
  <c r="U37" i="32"/>
  <c r="U36" i="32"/>
  <c r="U35" i="32"/>
  <c r="U34" i="32"/>
  <c r="U33" i="32"/>
  <c r="U32" i="32"/>
  <c r="U31" i="32"/>
  <c r="U30" i="32"/>
  <c r="U29" i="32"/>
  <c r="U28" i="32"/>
  <c r="U27" i="32"/>
  <c r="U26" i="32"/>
  <c r="U25" i="32"/>
  <c r="U24" i="32"/>
  <c r="U23" i="32"/>
  <c r="U22" i="32"/>
  <c r="U21" i="32"/>
  <c r="U20" i="32"/>
  <c r="U19" i="32"/>
  <c r="U18" i="32"/>
  <c r="U17" i="32"/>
  <c r="U16" i="32"/>
  <c r="V37" i="32"/>
  <c r="V36" i="32"/>
  <c r="V35" i="32"/>
  <c r="V34" i="32"/>
  <c r="V33" i="32"/>
  <c r="V32" i="32"/>
  <c r="V31" i="32"/>
  <c r="V30" i="32"/>
  <c r="V29" i="32"/>
  <c r="V28" i="32"/>
  <c r="V27" i="32"/>
  <c r="V26" i="32"/>
  <c r="V25" i="32"/>
  <c r="V24" i="32"/>
  <c r="V23" i="32"/>
  <c r="V22" i="32"/>
  <c r="V21" i="32"/>
  <c r="V20" i="32"/>
  <c r="V19" i="32"/>
  <c r="V18" i="32"/>
  <c r="V17" i="32"/>
  <c r="V16" i="32"/>
  <c r="W37" i="32"/>
  <c r="W36" i="32"/>
  <c r="W35" i="32"/>
  <c r="W34" i="32"/>
  <c r="W33" i="32"/>
  <c r="W32" i="32"/>
  <c r="W31" i="32"/>
  <c r="W30" i="32"/>
  <c r="W29" i="32"/>
  <c r="W28" i="32"/>
  <c r="W27" i="32"/>
  <c r="W26" i="32"/>
  <c r="W25" i="32"/>
  <c r="W24" i="32"/>
  <c r="W23" i="32"/>
  <c r="W22" i="32"/>
  <c r="W21" i="32"/>
  <c r="W20" i="32"/>
  <c r="W19" i="32"/>
  <c r="W18" i="32"/>
  <c r="W17" i="32"/>
  <c r="W16" i="32"/>
  <c r="X37" i="32"/>
  <c r="X36" i="32"/>
  <c r="X35" i="32"/>
  <c r="X34" i="32"/>
  <c r="X33" i="32"/>
  <c r="X32" i="32"/>
  <c r="X31" i="32"/>
  <c r="X30" i="32"/>
  <c r="X29" i="32"/>
  <c r="X28" i="32"/>
  <c r="X27" i="32"/>
  <c r="X26" i="32"/>
  <c r="X25" i="32"/>
  <c r="X24" i="32"/>
  <c r="X23" i="32"/>
  <c r="X22" i="32"/>
  <c r="X21" i="32"/>
  <c r="X20" i="32"/>
  <c r="X19" i="32"/>
  <c r="X18" i="32"/>
  <c r="X17" i="32"/>
  <c r="X16" i="32"/>
  <c r="Y37" i="32"/>
  <c r="Y36" i="32"/>
  <c r="Y35" i="32"/>
  <c r="Y34" i="32"/>
  <c r="Y33" i="32"/>
  <c r="Y32" i="32"/>
  <c r="Y31" i="32"/>
  <c r="Y30" i="32"/>
  <c r="Y29" i="32"/>
  <c r="Y28" i="32"/>
  <c r="Y27" i="32"/>
  <c r="Y26" i="32"/>
  <c r="Y25" i="32"/>
  <c r="Y24" i="32"/>
  <c r="Y23" i="32"/>
  <c r="Y22" i="32"/>
  <c r="Y21" i="32"/>
  <c r="Y20" i="32"/>
  <c r="Y19" i="32"/>
  <c r="Y18" i="32"/>
  <c r="Y17" i="32"/>
  <c r="Y16" i="32"/>
  <c r="Z37" i="32"/>
  <c r="Z36" i="32"/>
  <c r="Z35" i="32"/>
  <c r="Z34" i="32"/>
  <c r="Z33" i="32"/>
  <c r="Z32" i="32"/>
  <c r="Z31" i="32"/>
  <c r="Z30" i="32"/>
  <c r="Z29" i="32"/>
  <c r="Z28" i="32"/>
  <c r="Z27" i="32"/>
  <c r="Z26" i="32"/>
  <c r="Z25" i="32"/>
  <c r="Z24" i="32"/>
  <c r="Z23" i="32"/>
  <c r="Z22" i="32"/>
  <c r="Z21" i="32"/>
  <c r="Z20" i="32"/>
  <c r="Z19" i="32"/>
  <c r="Z18" i="32"/>
  <c r="Z17" i="32"/>
  <c r="Z16" i="32"/>
  <c r="AA37" i="32"/>
  <c r="AA36" i="32"/>
  <c r="AA35" i="32"/>
  <c r="AA34" i="32"/>
  <c r="AA33" i="32"/>
  <c r="AA32" i="32"/>
  <c r="AA31" i="32"/>
  <c r="AA30" i="32"/>
  <c r="AA29" i="32"/>
  <c r="AA28" i="32"/>
  <c r="AA27" i="32"/>
  <c r="AA26" i="32"/>
  <c r="AA25" i="32"/>
  <c r="AA24" i="32"/>
  <c r="AA23" i="32"/>
  <c r="AA22" i="32"/>
  <c r="AA21" i="32"/>
  <c r="AA20" i="32"/>
  <c r="AA19" i="32"/>
  <c r="AA18" i="32"/>
  <c r="AA17" i="32"/>
  <c r="AA16" i="32"/>
  <c r="AB37" i="32"/>
  <c r="AB36" i="32"/>
  <c r="AB35" i="32"/>
  <c r="AB34" i="32"/>
  <c r="AB33" i="32"/>
  <c r="AB32" i="32"/>
  <c r="AB31" i="32"/>
  <c r="AB30" i="32"/>
  <c r="AB29" i="32"/>
  <c r="AB28" i="32"/>
  <c r="AB27" i="32"/>
  <c r="AB26" i="32"/>
  <c r="AB25" i="32"/>
  <c r="AB24" i="32"/>
  <c r="AB23" i="32"/>
  <c r="AB22" i="32"/>
  <c r="AB21" i="32"/>
  <c r="AB20" i="32"/>
  <c r="AB19" i="32"/>
  <c r="AB18" i="32"/>
  <c r="AB17" i="32"/>
  <c r="AB16" i="32"/>
  <c r="AC37" i="32"/>
  <c r="AC36" i="32"/>
  <c r="AC35" i="32"/>
  <c r="AC34" i="32"/>
  <c r="AC33" i="32"/>
  <c r="AC32" i="32"/>
  <c r="AC31" i="32"/>
  <c r="AC30" i="32"/>
  <c r="AC29" i="32"/>
  <c r="AC28" i="32"/>
  <c r="AC27" i="32"/>
  <c r="AC26" i="32"/>
  <c r="AC25" i="32"/>
  <c r="AC24" i="32"/>
  <c r="AC23" i="32"/>
  <c r="AC22" i="32"/>
  <c r="AC21" i="32"/>
  <c r="AC20" i="32"/>
  <c r="AC19" i="32"/>
  <c r="AC18" i="32"/>
  <c r="AC17" i="32"/>
  <c r="AC16" i="32"/>
  <c r="AD37" i="32"/>
  <c r="AD36" i="32"/>
  <c r="AD35" i="32"/>
  <c r="AD34" i="32"/>
  <c r="AD33" i="32"/>
  <c r="AD32" i="32"/>
  <c r="AD31" i="32"/>
  <c r="AD30" i="32"/>
  <c r="AD29" i="32"/>
  <c r="AD28" i="32"/>
  <c r="AD27" i="32"/>
  <c r="AD26" i="32"/>
  <c r="AD25" i="32"/>
  <c r="AD24" i="32"/>
  <c r="AD23" i="32"/>
  <c r="AD22" i="32"/>
  <c r="AD21" i="32"/>
  <c r="AD20" i="32"/>
  <c r="AD19" i="32"/>
  <c r="AD18" i="32"/>
  <c r="AD17" i="32"/>
  <c r="AD16" i="32"/>
  <c r="AE37" i="32"/>
  <c r="AE36" i="32"/>
  <c r="AE35" i="32"/>
  <c r="AE34" i="32"/>
  <c r="AE33" i="32"/>
  <c r="AE32" i="32"/>
  <c r="AE31" i="32"/>
  <c r="AE30" i="32"/>
  <c r="AE29" i="32"/>
  <c r="AE28" i="32"/>
  <c r="AE27" i="32"/>
  <c r="AE26" i="32"/>
  <c r="AE25" i="32"/>
  <c r="AE24" i="32"/>
  <c r="AE23" i="32"/>
  <c r="AE22" i="32"/>
  <c r="AE21" i="32"/>
  <c r="AE20" i="32"/>
  <c r="AE19" i="32"/>
  <c r="AE18" i="32"/>
  <c r="AE17" i="32"/>
  <c r="AE16" i="32"/>
  <c r="AF39" i="31"/>
  <c r="AF38" i="31"/>
  <c r="AF37" i="31"/>
  <c r="AF36" i="31"/>
  <c r="AF35" i="31"/>
  <c r="AF34" i="31"/>
  <c r="AF33" i="31"/>
  <c r="AF32" i="31"/>
  <c r="AF31" i="31"/>
  <c r="AF30" i="31"/>
  <c r="AF29" i="31"/>
  <c r="AF28" i="31"/>
  <c r="AF27" i="31"/>
  <c r="AF26" i="31"/>
  <c r="AF25" i="31"/>
  <c r="AF24" i="31"/>
  <c r="AF23" i="31"/>
  <c r="AF22" i="31"/>
  <c r="AF21" i="31"/>
  <c r="AF20" i="31"/>
  <c r="AF19" i="31"/>
  <c r="AF18" i="31"/>
  <c r="AF17" i="31"/>
  <c r="AF16" i="31"/>
  <c r="AE39" i="31"/>
  <c r="AE38" i="31"/>
  <c r="AE37" i="31"/>
  <c r="AE36" i="31"/>
  <c r="AE35" i="31"/>
  <c r="AE34" i="31"/>
  <c r="AE33" i="31"/>
  <c r="AE32" i="31"/>
  <c r="AE31" i="31"/>
  <c r="AE30" i="31"/>
  <c r="AE29" i="31"/>
  <c r="AE28" i="31"/>
  <c r="AE27" i="31"/>
  <c r="AE26" i="31"/>
  <c r="AE25" i="31"/>
  <c r="AE24" i="31"/>
  <c r="AE23" i="31"/>
  <c r="AE22" i="31"/>
  <c r="AE21" i="31"/>
  <c r="AE20" i="31"/>
  <c r="AE19" i="31"/>
  <c r="AE18" i="31"/>
  <c r="AE17" i="31"/>
  <c r="AE16" i="31"/>
  <c r="AD39" i="31"/>
  <c r="AD38" i="31"/>
  <c r="AD37" i="31"/>
  <c r="AD36" i="31"/>
  <c r="AD35" i="31"/>
  <c r="AD34" i="31"/>
  <c r="AD33" i="31"/>
  <c r="AD32" i="31"/>
  <c r="AD31" i="31"/>
  <c r="AD30" i="31"/>
  <c r="AD29" i="31"/>
  <c r="AD28" i="31"/>
  <c r="AD27" i="31"/>
  <c r="AD26" i="31"/>
  <c r="AD25" i="31"/>
  <c r="AD24" i="31"/>
  <c r="AD23" i="31"/>
  <c r="AD22" i="31"/>
  <c r="AD21" i="31"/>
  <c r="AD20" i="31"/>
  <c r="AD19" i="31"/>
  <c r="AD18" i="31"/>
  <c r="AD17" i="31"/>
  <c r="AD16" i="31"/>
  <c r="AC39" i="31"/>
  <c r="AC38" i="31"/>
  <c r="AC37" i="31"/>
  <c r="AC36" i="31"/>
  <c r="AC35" i="31"/>
  <c r="AC34" i="31"/>
  <c r="AC33" i="31"/>
  <c r="AC32" i="31"/>
  <c r="AC31" i="31"/>
  <c r="AC30" i="31"/>
  <c r="AC29" i="31"/>
  <c r="AC28" i="31"/>
  <c r="AC27" i="31"/>
  <c r="AC26" i="31"/>
  <c r="AC25" i="31"/>
  <c r="AC24" i="31"/>
  <c r="AC23" i="31"/>
  <c r="AC22" i="31"/>
  <c r="AC21" i="31"/>
  <c r="AC20" i="31"/>
  <c r="AC19" i="31"/>
  <c r="AC18" i="31"/>
  <c r="AC17" i="31"/>
  <c r="AC16" i="31"/>
  <c r="AB39" i="31"/>
  <c r="AB38" i="31"/>
  <c r="AB37" i="31"/>
  <c r="AB36" i="31"/>
  <c r="AB35" i="31"/>
  <c r="AB34" i="31"/>
  <c r="AB33" i="31"/>
  <c r="AB32" i="31"/>
  <c r="AB31" i="31"/>
  <c r="AB30" i="31"/>
  <c r="AB29" i="31"/>
  <c r="AB28" i="31"/>
  <c r="AB27" i="31"/>
  <c r="AB26" i="31"/>
  <c r="AB25" i="31"/>
  <c r="AB24" i="31"/>
  <c r="AB23" i="31"/>
  <c r="AB22" i="31"/>
  <c r="AB21" i="31"/>
  <c r="AB20" i="31"/>
  <c r="AB19" i="31"/>
  <c r="AB18" i="31"/>
  <c r="AB17" i="31"/>
  <c r="AB16" i="31"/>
  <c r="AA39" i="31"/>
  <c r="AA38" i="31"/>
  <c r="AA37" i="31"/>
  <c r="AA36" i="31"/>
  <c r="AA35" i="31"/>
  <c r="AA34" i="31"/>
  <c r="AA33" i="31"/>
  <c r="AA32" i="31"/>
  <c r="AA31" i="31"/>
  <c r="AA30" i="31"/>
  <c r="AA29" i="31"/>
  <c r="AA28" i="31"/>
  <c r="AA27" i="31"/>
  <c r="AA26" i="31"/>
  <c r="AA25" i="31"/>
  <c r="AA24" i="31"/>
  <c r="AA23" i="31"/>
  <c r="AA22" i="31"/>
  <c r="AA21" i="31"/>
  <c r="AA20" i="31"/>
  <c r="AA19" i="31"/>
  <c r="AA18" i="31"/>
  <c r="AA17" i="31"/>
  <c r="AA16" i="31"/>
  <c r="Z39" i="31"/>
  <c r="Z38" i="31"/>
  <c r="Z37" i="31"/>
  <c r="Z36" i="31"/>
  <c r="Z35" i="31"/>
  <c r="Z34" i="31"/>
  <c r="Z33" i="31"/>
  <c r="Z32" i="31"/>
  <c r="Z31" i="31"/>
  <c r="Z30" i="31"/>
  <c r="Z29" i="31"/>
  <c r="Z28" i="31"/>
  <c r="Z27" i="31"/>
  <c r="Z26" i="31"/>
  <c r="Z25" i="31"/>
  <c r="Z24" i="31"/>
  <c r="Z23" i="31"/>
  <c r="Z22" i="31"/>
  <c r="Z21" i="31"/>
  <c r="Z20" i="31"/>
  <c r="Z19" i="31"/>
  <c r="Z18" i="31"/>
  <c r="Z17" i="31"/>
  <c r="Z16" i="31"/>
  <c r="Y39" i="31"/>
  <c r="Y38" i="31"/>
  <c r="Y37" i="31"/>
  <c r="Y36" i="31"/>
  <c r="Y35" i="31"/>
  <c r="Y34" i="31"/>
  <c r="Y33" i="31"/>
  <c r="Y32" i="31"/>
  <c r="Y31" i="31"/>
  <c r="Y30" i="31"/>
  <c r="Y29" i="31"/>
  <c r="Y28" i="31"/>
  <c r="Y27" i="31"/>
  <c r="Y26" i="31"/>
  <c r="Y25" i="31"/>
  <c r="Y24" i="31"/>
  <c r="Y23" i="31"/>
  <c r="Y22" i="31"/>
  <c r="Y21" i="31"/>
  <c r="Y20" i="31"/>
  <c r="Y19" i="31"/>
  <c r="Y18" i="31"/>
  <c r="Y17" i="31"/>
  <c r="Y16" i="31"/>
  <c r="X39" i="31"/>
  <c r="X38" i="31"/>
  <c r="X37" i="31"/>
  <c r="X36" i="31"/>
  <c r="X35" i="31"/>
  <c r="X34" i="31"/>
  <c r="X33" i="31"/>
  <c r="X32" i="31"/>
  <c r="X31" i="31"/>
  <c r="X30" i="31"/>
  <c r="X29" i="31"/>
  <c r="X28" i="31"/>
  <c r="X27" i="31"/>
  <c r="X26" i="31"/>
  <c r="X25" i="31"/>
  <c r="X24" i="31"/>
  <c r="X23" i="31"/>
  <c r="X22" i="31"/>
  <c r="X21" i="31"/>
  <c r="X20" i="31"/>
  <c r="X19" i="31"/>
  <c r="X18" i="31"/>
  <c r="X17" i="31"/>
  <c r="X16" i="31"/>
  <c r="W39" i="31"/>
  <c r="W38" i="31"/>
  <c r="W37" i="31"/>
  <c r="W36" i="31"/>
  <c r="W35" i="31"/>
  <c r="W34" i="31"/>
  <c r="W33" i="31"/>
  <c r="W32" i="31"/>
  <c r="W31" i="31"/>
  <c r="W30" i="31"/>
  <c r="W29" i="31"/>
  <c r="W28" i="31"/>
  <c r="W27" i="31"/>
  <c r="W26" i="31"/>
  <c r="W25" i="31"/>
  <c r="W24" i="31"/>
  <c r="W23" i="31"/>
  <c r="W22" i="31"/>
  <c r="W21" i="31"/>
  <c r="W20" i="31"/>
  <c r="W19" i="31"/>
  <c r="W18" i="31"/>
  <c r="W17" i="31"/>
  <c r="W16" i="31"/>
  <c r="V39" i="31"/>
  <c r="V38" i="31"/>
  <c r="V37" i="31"/>
  <c r="V36" i="31"/>
  <c r="V35" i="31"/>
  <c r="V34" i="31"/>
  <c r="V33" i="31"/>
  <c r="V32" i="31"/>
  <c r="V31" i="31"/>
  <c r="V30" i="31"/>
  <c r="V29" i="31"/>
  <c r="V28" i="31"/>
  <c r="V27" i="31"/>
  <c r="V26" i="31"/>
  <c r="V25" i="31"/>
  <c r="V24" i="31"/>
  <c r="V23" i="31"/>
  <c r="V22" i="31"/>
  <c r="V21" i="31"/>
  <c r="V20" i="31"/>
  <c r="V19" i="31"/>
  <c r="V18" i="31"/>
  <c r="V17" i="31"/>
  <c r="V16" i="31"/>
  <c r="U39" i="31"/>
  <c r="U38" i="31"/>
  <c r="U37" i="31"/>
  <c r="U36" i="31"/>
  <c r="U35" i="31"/>
  <c r="U34" i="31"/>
  <c r="U33" i="31"/>
  <c r="U32" i="31"/>
  <c r="U31" i="31"/>
  <c r="U30" i="31"/>
  <c r="U29" i="31"/>
  <c r="U28" i="31"/>
  <c r="U27" i="31"/>
  <c r="U26" i="31"/>
  <c r="U25" i="31"/>
  <c r="U24" i="31"/>
  <c r="U23" i="31"/>
  <c r="U22" i="31"/>
  <c r="U21" i="31"/>
  <c r="U20" i="31"/>
  <c r="U19" i="31"/>
  <c r="U18" i="31"/>
  <c r="U17" i="31"/>
  <c r="U16" i="31"/>
  <c r="T39" i="31"/>
  <c r="T38" i="31"/>
  <c r="T37" i="31"/>
  <c r="T36" i="31"/>
  <c r="T35" i="31"/>
  <c r="T34" i="31"/>
  <c r="T33" i="31"/>
  <c r="T32" i="31"/>
  <c r="T31" i="31"/>
  <c r="T30" i="31"/>
  <c r="T29" i="31"/>
  <c r="T28" i="31"/>
  <c r="T27" i="31"/>
  <c r="T26" i="31"/>
  <c r="T25" i="31"/>
  <c r="T24" i="31"/>
  <c r="T23" i="31"/>
  <c r="T22" i="31"/>
  <c r="T21" i="31"/>
  <c r="T20" i="31"/>
  <c r="T19" i="31"/>
  <c r="T18" i="31"/>
  <c r="T17" i="31"/>
  <c r="T16" i="31"/>
  <c r="S39" i="31"/>
  <c r="S38" i="31"/>
  <c r="S37" i="31"/>
  <c r="S36" i="31"/>
  <c r="S35" i="31"/>
  <c r="S34" i="31"/>
  <c r="S33" i="31"/>
  <c r="S32" i="31"/>
  <c r="S31" i="31"/>
  <c r="S30" i="31"/>
  <c r="S29" i="31"/>
  <c r="S28" i="31"/>
  <c r="S27" i="31"/>
  <c r="S26" i="31"/>
  <c r="S25" i="31"/>
  <c r="S24" i="31"/>
  <c r="S23" i="31"/>
  <c r="S22" i="31"/>
  <c r="S21" i="31"/>
  <c r="S20" i="31"/>
  <c r="S19" i="31"/>
  <c r="S18" i="31"/>
  <c r="S17" i="31"/>
  <c r="S16" i="31"/>
  <c r="R39" i="31"/>
  <c r="R38" i="31"/>
  <c r="R37" i="31"/>
  <c r="R36" i="31"/>
  <c r="R35" i="31"/>
  <c r="R34" i="31"/>
  <c r="R33" i="31"/>
  <c r="R32" i="31"/>
  <c r="R31" i="31"/>
  <c r="R30" i="31"/>
  <c r="R29" i="31"/>
  <c r="R28" i="31"/>
  <c r="R27" i="31"/>
  <c r="R26" i="31"/>
  <c r="R25" i="31"/>
  <c r="R24" i="31"/>
  <c r="R23" i="31"/>
  <c r="R22" i="31"/>
  <c r="R21" i="31"/>
  <c r="R20" i="31"/>
  <c r="R19" i="31"/>
  <c r="R18" i="31"/>
  <c r="R17" i="31"/>
  <c r="R16" i="31"/>
  <c r="Q39" i="31"/>
  <c r="Q38" i="31"/>
  <c r="Q37" i="31"/>
  <c r="Q36" i="31"/>
  <c r="Q35" i="31"/>
  <c r="Q34" i="31"/>
  <c r="Q33" i="31"/>
  <c r="Q32" i="31"/>
  <c r="Q31" i="31"/>
  <c r="Q30" i="31"/>
  <c r="Q29" i="31"/>
  <c r="Q28" i="31"/>
  <c r="Q27" i="31"/>
  <c r="Q26" i="31"/>
  <c r="Q25" i="31"/>
  <c r="Q24" i="31"/>
  <c r="Q23" i="31"/>
  <c r="Q22" i="31"/>
  <c r="Q21" i="31"/>
  <c r="Q20" i="31"/>
  <c r="Q19" i="31"/>
  <c r="Q18" i="31"/>
  <c r="Q17" i="31"/>
  <c r="Q16" i="31"/>
  <c r="P39" i="31"/>
  <c r="P38" i="31"/>
  <c r="P37" i="31"/>
  <c r="P36" i="31"/>
  <c r="P35" i="31"/>
  <c r="P34" i="31"/>
  <c r="P33" i="31"/>
  <c r="P32" i="31"/>
  <c r="P31" i="31"/>
  <c r="P30" i="31"/>
  <c r="P29" i="31"/>
  <c r="P28" i="31"/>
  <c r="P27" i="31"/>
  <c r="P26" i="31"/>
  <c r="P25" i="31"/>
  <c r="P24" i="31"/>
  <c r="P23" i="31"/>
  <c r="P22" i="31"/>
  <c r="P21" i="31"/>
  <c r="P20" i="31"/>
  <c r="P19" i="31"/>
  <c r="P18" i="31"/>
  <c r="P17" i="31"/>
  <c r="P16" i="31"/>
  <c r="O39" i="31"/>
  <c r="O38" i="31"/>
  <c r="O37" i="31"/>
  <c r="O36" i="31"/>
  <c r="O35" i="31"/>
  <c r="O34" i="31"/>
  <c r="O33" i="31"/>
  <c r="O32" i="31"/>
  <c r="O31" i="31"/>
  <c r="O30" i="31"/>
  <c r="O29" i="31"/>
  <c r="O28" i="31"/>
  <c r="O27" i="31"/>
  <c r="O26" i="31"/>
  <c r="O25" i="31"/>
  <c r="O24" i="31"/>
  <c r="O23" i="31"/>
  <c r="O22" i="31"/>
  <c r="O21" i="31"/>
  <c r="O20" i="31"/>
  <c r="O19" i="31"/>
  <c r="O18" i="31"/>
  <c r="O17" i="31"/>
  <c r="O16" i="31"/>
  <c r="N39" i="31"/>
  <c r="N38" i="31"/>
  <c r="N37" i="31"/>
  <c r="N36" i="31"/>
  <c r="N35" i="31"/>
  <c r="N34" i="31"/>
  <c r="N33" i="31"/>
  <c r="N32" i="31"/>
  <c r="N31" i="31"/>
  <c r="N30" i="31"/>
  <c r="N29" i="31"/>
  <c r="N28" i="31"/>
  <c r="N27" i="31"/>
  <c r="N26" i="31"/>
  <c r="N25" i="31"/>
  <c r="N24" i="31"/>
  <c r="N23" i="31"/>
  <c r="N22" i="31"/>
  <c r="N21" i="31"/>
  <c r="N20" i="31"/>
  <c r="N19" i="31"/>
  <c r="N18" i="31"/>
  <c r="N17" i="31"/>
  <c r="N16" i="31"/>
  <c r="M39" i="31"/>
  <c r="M38" i="31"/>
  <c r="M37" i="31"/>
  <c r="M36" i="31"/>
  <c r="M35" i="31"/>
  <c r="M34" i="31"/>
  <c r="M33" i="31"/>
  <c r="M32" i="31"/>
  <c r="M31" i="31"/>
  <c r="M30" i="31"/>
  <c r="M29" i="31"/>
  <c r="M28" i="31"/>
  <c r="M27" i="31"/>
  <c r="M26" i="31"/>
  <c r="M25" i="31"/>
  <c r="M24" i="31"/>
  <c r="M23" i="31"/>
  <c r="M22" i="31"/>
  <c r="M21" i="31"/>
  <c r="M20" i="31"/>
  <c r="M19" i="31"/>
  <c r="M18" i="31"/>
  <c r="M17" i="31"/>
  <c r="M16" i="31"/>
  <c r="L39" i="31"/>
  <c r="L38" i="31"/>
  <c r="L37" i="31"/>
  <c r="L36" i="31"/>
  <c r="L35" i="31"/>
  <c r="L34" i="31"/>
  <c r="L33" i="31"/>
  <c r="L32" i="31"/>
  <c r="L31" i="31"/>
  <c r="L30" i="31"/>
  <c r="L29" i="31"/>
  <c r="L28" i="31"/>
  <c r="L27" i="31"/>
  <c r="L26" i="31"/>
  <c r="L25" i="31"/>
  <c r="L24" i="31"/>
  <c r="L23" i="31"/>
  <c r="L22" i="31"/>
  <c r="L21" i="31"/>
  <c r="L20" i="31"/>
  <c r="L19" i="31"/>
  <c r="L18" i="31"/>
  <c r="L17" i="31"/>
  <c r="L16" i="31"/>
  <c r="K39" i="31"/>
  <c r="K38" i="31"/>
  <c r="K37" i="31"/>
  <c r="K36" i="31"/>
  <c r="K35" i="31"/>
  <c r="K34" i="31"/>
  <c r="K33" i="31"/>
  <c r="K32" i="31"/>
  <c r="K31" i="31"/>
  <c r="K30" i="31"/>
  <c r="K29" i="31"/>
  <c r="K28" i="31"/>
  <c r="K27" i="31"/>
  <c r="K26" i="31"/>
  <c r="K25" i="31"/>
  <c r="K24" i="31"/>
  <c r="K23" i="31"/>
  <c r="K22" i="31"/>
  <c r="K21" i="31"/>
  <c r="K20" i="31"/>
  <c r="K19" i="31"/>
  <c r="K18" i="31"/>
  <c r="K17" i="31"/>
  <c r="K16" i="31"/>
  <c r="J39" i="31"/>
  <c r="J38" i="31"/>
  <c r="J37" i="31"/>
  <c r="J36" i="31"/>
  <c r="J35" i="31"/>
  <c r="J34" i="31"/>
  <c r="J33" i="31"/>
  <c r="J32" i="31"/>
  <c r="J31" i="31"/>
  <c r="J30" i="31"/>
  <c r="J29" i="31"/>
  <c r="J28" i="31"/>
  <c r="J27" i="31"/>
  <c r="J26" i="31"/>
  <c r="J25" i="31"/>
  <c r="J24" i="31"/>
  <c r="J23" i="31"/>
  <c r="J22" i="31"/>
  <c r="J21" i="31"/>
  <c r="J20" i="31"/>
  <c r="J19" i="31"/>
  <c r="J18" i="31"/>
  <c r="J17" i="31"/>
  <c r="J16" i="31"/>
  <c r="I39" i="31"/>
  <c r="I38" i="31"/>
  <c r="I37" i="31"/>
  <c r="I36" i="31"/>
  <c r="I35" i="31"/>
  <c r="I34" i="31"/>
  <c r="I33" i="31"/>
  <c r="I32" i="31"/>
  <c r="I31" i="31"/>
  <c r="I30" i="31"/>
  <c r="I29" i="31"/>
  <c r="I28" i="31"/>
  <c r="I27" i="31"/>
  <c r="I26" i="31"/>
  <c r="I25" i="31"/>
  <c r="I24" i="31"/>
  <c r="I23" i="31"/>
  <c r="I22" i="31"/>
  <c r="I21" i="31"/>
  <c r="I20" i="31"/>
  <c r="I19" i="31"/>
  <c r="I18" i="31"/>
  <c r="I17" i="31"/>
  <c r="I16" i="31"/>
  <c r="H39" i="31"/>
  <c r="H38" i="31"/>
  <c r="H37" i="31"/>
  <c r="H36" i="31"/>
  <c r="H35" i="31"/>
  <c r="H34" i="31"/>
  <c r="H33" i="31"/>
  <c r="H32" i="31"/>
  <c r="H31" i="31"/>
  <c r="H30" i="31"/>
  <c r="H29" i="31"/>
  <c r="H28" i="31"/>
  <c r="H27" i="31"/>
  <c r="H26" i="31"/>
  <c r="H25" i="31"/>
  <c r="H24" i="31"/>
  <c r="H23" i="31"/>
  <c r="H22" i="31"/>
  <c r="H21" i="31"/>
  <c r="H20" i="31"/>
  <c r="H19" i="31"/>
  <c r="H18" i="31"/>
  <c r="H17" i="31"/>
  <c r="H16" i="31"/>
  <c r="G39" i="31"/>
  <c r="G38" i="31"/>
  <c r="G37" i="31"/>
  <c r="G36" i="31"/>
  <c r="G35" i="31"/>
  <c r="G34" i="31"/>
  <c r="G33" i="31"/>
  <c r="G32" i="31"/>
  <c r="G31" i="31"/>
  <c r="G30" i="31"/>
  <c r="G29" i="31"/>
  <c r="G28" i="31"/>
  <c r="G27" i="31"/>
  <c r="G26" i="31"/>
  <c r="G25" i="31"/>
  <c r="G24" i="31"/>
  <c r="G23" i="31"/>
  <c r="G22" i="31"/>
  <c r="G21" i="31"/>
  <c r="G20" i="31"/>
  <c r="G19" i="31"/>
  <c r="G18" i="31"/>
  <c r="G17" i="31"/>
  <c r="G16" i="31"/>
  <c r="F39" i="31"/>
  <c r="F38" i="31"/>
  <c r="F37" i="31"/>
  <c r="F36" i="31"/>
  <c r="F35" i="31"/>
  <c r="F34" i="31"/>
  <c r="F33" i="31"/>
  <c r="F32" i="31"/>
  <c r="F31" i="31"/>
  <c r="F30" i="31"/>
  <c r="F29" i="31"/>
  <c r="F28" i="31"/>
  <c r="F27" i="31"/>
  <c r="F26" i="31"/>
  <c r="F25" i="31"/>
  <c r="F24" i="31"/>
  <c r="F23" i="31"/>
  <c r="F22" i="31"/>
  <c r="F21" i="31"/>
  <c r="F20" i="31"/>
  <c r="F19" i="31"/>
  <c r="F18" i="31"/>
  <c r="F17" i="31"/>
  <c r="F16" i="31"/>
  <c r="E39" i="31"/>
  <c r="E38" i="31"/>
  <c r="E37" i="31"/>
  <c r="E36" i="31"/>
  <c r="E35" i="31"/>
  <c r="E34" i="31"/>
  <c r="E33" i="31"/>
  <c r="E32" i="31"/>
  <c r="E31" i="31"/>
  <c r="E30" i="31"/>
  <c r="E29" i="31"/>
  <c r="E28" i="31"/>
  <c r="E27" i="31"/>
  <c r="E26" i="31"/>
  <c r="E25" i="31"/>
  <c r="E24" i="31"/>
  <c r="E23" i="31"/>
  <c r="E22" i="31"/>
  <c r="E21" i="31"/>
  <c r="E20" i="31"/>
  <c r="E19" i="31"/>
  <c r="E18" i="31"/>
  <c r="E17" i="31"/>
  <c r="E16" i="31"/>
  <c r="D39" i="31"/>
  <c r="D38" i="31"/>
  <c r="D37" i="31"/>
  <c r="D36" i="31"/>
  <c r="D35" i="31"/>
  <c r="D34" i="31"/>
  <c r="D33" i="31"/>
  <c r="D32" i="31"/>
  <c r="D31" i="31"/>
  <c r="D30" i="31"/>
  <c r="D29" i="31"/>
  <c r="D28" i="31"/>
  <c r="D27" i="31"/>
  <c r="D26" i="31"/>
  <c r="D25" i="31"/>
  <c r="D24" i="31"/>
  <c r="D23" i="31"/>
  <c r="D22" i="31"/>
  <c r="D21" i="31"/>
  <c r="D20" i="31"/>
  <c r="D19" i="31"/>
  <c r="D18" i="31"/>
  <c r="D17" i="31"/>
  <c r="D16" i="31"/>
  <c r="B39" i="31" l="1"/>
  <c r="B38" i="31"/>
  <c r="B37" i="31"/>
  <c r="B36" i="31"/>
  <c r="B35" i="31"/>
  <c r="B34" i="31"/>
  <c r="B33" i="31"/>
  <c r="B32" i="31"/>
  <c r="B31" i="31"/>
  <c r="B30" i="31"/>
  <c r="B29" i="31"/>
  <c r="B28" i="31"/>
  <c r="B27" i="31"/>
  <c r="B26" i="31"/>
  <c r="B25" i="31"/>
  <c r="B24" i="31"/>
  <c r="B23" i="31"/>
  <c r="B22" i="31"/>
  <c r="B21" i="31"/>
  <c r="B20" i="31"/>
  <c r="B19" i="31"/>
  <c r="B18" i="31"/>
  <c r="B17" i="31"/>
  <c r="B16" i="31"/>
  <c r="M11" i="66" l="1"/>
  <c r="M12" i="66"/>
  <c r="M13" i="66"/>
  <c r="M14" i="66"/>
  <c r="M15" i="66"/>
  <c r="M16" i="66"/>
  <c r="M17" i="66"/>
  <c r="M18" i="66"/>
  <c r="M19" i="66"/>
  <c r="M20" i="66"/>
  <c r="M21" i="66"/>
  <c r="M22" i="66"/>
  <c r="M23" i="66"/>
  <c r="M24" i="66"/>
  <c r="M25" i="66"/>
  <c r="M26" i="66"/>
  <c r="M27" i="66"/>
  <c r="M28" i="66"/>
  <c r="M29" i="66"/>
  <c r="M30" i="66"/>
  <c r="M31" i="66"/>
  <c r="M32" i="66"/>
  <c r="M33" i="66"/>
  <c r="M34" i="66"/>
  <c r="M35" i="66"/>
  <c r="M36" i="66"/>
  <c r="M37" i="66"/>
  <c r="M38" i="66"/>
  <c r="M39" i="66"/>
  <c r="M40" i="66"/>
  <c r="M41" i="66"/>
  <c r="M42" i="66"/>
  <c r="M43" i="66"/>
  <c r="M44" i="66"/>
  <c r="M45" i="66"/>
  <c r="M46" i="66"/>
  <c r="M47" i="66"/>
  <c r="M48" i="66"/>
  <c r="M49" i="66"/>
  <c r="M50" i="66"/>
  <c r="M51" i="66"/>
  <c r="M52" i="66"/>
  <c r="M53" i="66"/>
  <c r="M54" i="66"/>
  <c r="M5" i="66"/>
  <c r="M6" i="66"/>
  <c r="M7" i="66"/>
  <c r="M8" i="66"/>
  <c r="M9" i="66"/>
  <c r="M10" i="66"/>
  <c r="M4" i="66"/>
  <c r="D40" i="32" l="1"/>
  <c r="Y65" i="5" l="1"/>
  <c r="Y43" i="5"/>
  <c r="D42" i="31" l="1"/>
  <c r="P56" i="5" l="1"/>
  <c r="AG40" i="5"/>
  <c r="AF28" i="32" l="1"/>
  <c r="AG38" i="5"/>
  <c r="AA52" i="5"/>
  <c r="AA46" i="5"/>
  <c r="P64" i="5"/>
  <c r="N38" i="5"/>
  <c r="N17" i="5"/>
  <c r="AG30" i="5" l="1"/>
  <c r="AG29" i="5"/>
  <c r="W25" i="5"/>
  <c r="AF22" i="32" l="1"/>
  <c r="N19" i="5"/>
  <c r="N18" i="5"/>
  <c r="N56" i="5"/>
  <c r="N34" i="5"/>
  <c r="N43" i="5"/>
  <c r="N41" i="5"/>
  <c r="N28" i="5"/>
  <c r="N60" i="5"/>
  <c r="N36" i="5"/>
  <c r="N23" i="5"/>
  <c r="N58" i="5"/>
  <c r="N45" i="5"/>
  <c r="N26" i="5"/>
  <c r="N25" i="5"/>
  <c r="N57" i="5"/>
  <c r="N20" i="5"/>
  <c r="N49" i="5"/>
  <c r="N55" i="5"/>
  <c r="N61" i="5"/>
  <c r="N30" i="5"/>
  <c r="N59" i="5"/>
  <c r="N48" i="5"/>
  <c r="N31" i="5"/>
  <c r="N24" i="5"/>
  <c r="N64" i="5"/>
  <c r="N35" i="5"/>
  <c r="N22" i="5"/>
  <c r="N47" i="5"/>
  <c r="N44" i="5"/>
  <c r="N63" i="5"/>
  <c r="N52" i="5"/>
  <c r="N50" i="5"/>
  <c r="N39" i="5"/>
  <c r="N33" i="5"/>
  <c r="N51" i="5"/>
  <c r="N32" i="5"/>
  <c r="N46" i="5"/>
  <c r="N40" i="5"/>
  <c r="N21" i="5"/>
  <c r="N54" i="5"/>
  <c r="N66" i="5"/>
  <c r="N37" i="5"/>
  <c r="N16" i="5"/>
  <c r="N29" i="5"/>
  <c r="N53" i="5"/>
  <c r="N62" i="5"/>
  <c r="N65" i="5"/>
  <c r="N42" i="5"/>
  <c r="N27" i="5"/>
  <c r="AG16" i="5"/>
  <c r="R21" i="5" l="1"/>
  <c r="AC45" i="5"/>
  <c r="Y66" i="5"/>
  <c r="Y49" i="5"/>
  <c r="Y47" i="5"/>
  <c r="R25" i="5"/>
  <c r="P19" i="5" l="1"/>
  <c r="P17" i="5"/>
  <c r="P18" i="5"/>
  <c r="P34" i="5"/>
  <c r="P43" i="5"/>
  <c r="P41" i="5"/>
  <c r="P28" i="5"/>
  <c r="P60" i="5"/>
  <c r="P36" i="5"/>
  <c r="P23" i="5"/>
  <c r="P58" i="5"/>
  <c r="P45" i="5"/>
  <c r="P26" i="5"/>
  <c r="P25" i="5"/>
  <c r="P57" i="5"/>
  <c r="P20" i="5"/>
  <c r="P49" i="5"/>
  <c r="P55" i="5"/>
  <c r="P61" i="5"/>
  <c r="P30" i="5"/>
  <c r="P59" i="5"/>
  <c r="P48" i="5"/>
  <c r="P31" i="5"/>
  <c r="P24" i="5"/>
  <c r="P35" i="5"/>
  <c r="P22" i="5"/>
  <c r="P47" i="5"/>
  <c r="P44" i="5"/>
  <c r="P63" i="5"/>
  <c r="P52" i="5"/>
  <c r="P50" i="5"/>
  <c r="P39" i="5"/>
  <c r="P33" i="5"/>
  <c r="P51" i="5"/>
  <c r="P32" i="5"/>
  <c r="P46" i="5"/>
  <c r="P40" i="5"/>
  <c r="P21" i="5"/>
  <c r="P54" i="5"/>
  <c r="P66" i="5"/>
  <c r="P37" i="5"/>
  <c r="P16" i="5"/>
  <c r="P29" i="5"/>
  <c r="P53" i="5"/>
  <c r="P38" i="5"/>
  <c r="P62" i="5"/>
  <c r="P65" i="5"/>
  <c r="P42" i="5"/>
  <c r="P27" i="5"/>
  <c r="W17" i="5"/>
  <c r="W18" i="5"/>
  <c r="W19" i="5"/>
  <c r="W20" i="5"/>
  <c r="W21" i="5"/>
  <c r="W22" i="5"/>
  <c r="W23" i="5"/>
  <c r="W24"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16" i="5"/>
  <c r="R17" i="5"/>
  <c r="R18" i="5"/>
  <c r="R19" i="5"/>
  <c r="R20" i="5"/>
  <c r="R22" i="5"/>
  <c r="R23" i="5"/>
  <c r="R24" i="5"/>
  <c r="R26" i="5"/>
  <c r="R27" i="5"/>
  <c r="R28" i="5"/>
  <c r="R29" i="5"/>
  <c r="R30"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16" i="5"/>
  <c r="AE58" i="5" l="1"/>
  <c r="AG37" i="5"/>
  <c r="AF26" i="32" s="1"/>
  <c r="J22" i="5"/>
  <c r="F64" i="5"/>
  <c r="AG17" i="5" l="1"/>
  <c r="AF16" i="32" s="1"/>
  <c r="T16" i="5"/>
  <c r="AA16" i="5"/>
  <c r="AC16" i="5"/>
  <c r="AE16" i="5"/>
  <c r="T17" i="5"/>
  <c r="Y17" i="5"/>
  <c r="AA17" i="5"/>
  <c r="AC17" i="5"/>
  <c r="AE17" i="5"/>
  <c r="T18" i="5"/>
  <c r="Y18" i="5"/>
  <c r="AA18" i="5"/>
  <c r="AC18" i="5"/>
  <c r="AE18" i="5"/>
  <c r="AG18" i="5"/>
  <c r="T19" i="5"/>
  <c r="Y19" i="5"/>
  <c r="AA19" i="5"/>
  <c r="AC19" i="5"/>
  <c r="AE19" i="5"/>
  <c r="AG19" i="5"/>
  <c r="Y20" i="5"/>
  <c r="AA20" i="5"/>
  <c r="AC20" i="5"/>
  <c r="AE20" i="5"/>
  <c r="AG20" i="5"/>
  <c r="T21" i="5"/>
  <c r="Y21" i="5"/>
  <c r="AA21" i="5"/>
  <c r="AC21" i="5"/>
  <c r="AE21" i="5"/>
  <c r="AG21" i="5"/>
  <c r="T22" i="5"/>
  <c r="Y22" i="5"/>
  <c r="AA22" i="5"/>
  <c r="AC22" i="5"/>
  <c r="AE22" i="5"/>
  <c r="AG22" i="5"/>
  <c r="T23" i="5"/>
  <c r="Y23" i="5"/>
  <c r="AA23" i="5"/>
  <c r="AC23" i="5"/>
  <c r="AE23" i="5"/>
  <c r="AG23" i="5"/>
  <c r="Y24" i="5"/>
  <c r="AA24" i="5"/>
  <c r="AC24" i="5"/>
  <c r="AE24" i="5"/>
  <c r="AG24" i="5"/>
  <c r="T25" i="5"/>
  <c r="Y25" i="5"/>
  <c r="AA25" i="5"/>
  <c r="AC25" i="5"/>
  <c r="AE25" i="5"/>
  <c r="AG25" i="5"/>
  <c r="T26" i="5"/>
  <c r="Y26" i="5"/>
  <c r="AA26" i="5"/>
  <c r="AC26" i="5"/>
  <c r="AE26" i="5"/>
  <c r="AG26" i="5"/>
  <c r="T27" i="5"/>
  <c r="AA27" i="5"/>
  <c r="AC27" i="5"/>
  <c r="AE27" i="5"/>
  <c r="AG27" i="5"/>
  <c r="T28" i="5"/>
  <c r="Y28" i="5"/>
  <c r="AA28" i="5"/>
  <c r="AC28" i="5"/>
  <c r="AE28" i="5"/>
  <c r="AG28" i="5"/>
  <c r="T29" i="5"/>
  <c r="Y29" i="5"/>
  <c r="AA29" i="5"/>
  <c r="AC29" i="5"/>
  <c r="AE29" i="5"/>
  <c r="T30" i="5"/>
  <c r="Y30" i="5"/>
  <c r="AA30" i="5"/>
  <c r="AC30" i="5"/>
  <c r="AE30" i="5"/>
  <c r="T31" i="5"/>
  <c r="Y31" i="5"/>
  <c r="AA31" i="5"/>
  <c r="AC31" i="5"/>
  <c r="AE31" i="5"/>
  <c r="AG31" i="5"/>
  <c r="T32" i="5"/>
  <c r="Y32" i="5"/>
  <c r="AA32" i="5"/>
  <c r="AC32" i="5"/>
  <c r="AE32" i="5"/>
  <c r="AG32" i="5"/>
  <c r="T33" i="5"/>
  <c r="Y33" i="5"/>
  <c r="AA33" i="5"/>
  <c r="AC33" i="5"/>
  <c r="AE33" i="5"/>
  <c r="AG33" i="5"/>
  <c r="T34" i="5"/>
  <c r="Y34" i="5"/>
  <c r="AA34" i="5"/>
  <c r="AC34" i="5"/>
  <c r="AE34" i="5"/>
  <c r="AG34" i="5"/>
  <c r="T35" i="5"/>
  <c r="Y35" i="5"/>
  <c r="AA35" i="5"/>
  <c r="AC35" i="5"/>
  <c r="AE35" i="5"/>
  <c r="AG35" i="5"/>
  <c r="T36" i="5"/>
  <c r="Y36" i="5"/>
  <c r="AA36" i="5"/>
  <c r="AC36" i="5"/>
  <c r="AE36" i="5"/>
  <c r="AG36" i="5"/>
  <c r="T37" i="5"/>
  <c r="Y37" i="5"/>
  <c r="AA37" i="5"/>
  <c r="AC37" i="5"/>
  <c r="AE37" i="5"/>
  <c r="T38" i="5"/>
  <c r="Y38" i="5"/>
  <c r="AA38" i="5"/>
  <c r="AC38" i="5"/>
  <c r="AE38" i="5"/>
  <c r="T39" i="5"/>
  <c r="Y39" i="5"/>
  <c r="AA39" i="5"/>
  <c r="AC39" i="5"/>
  <c r="AE39" i="5"/>
  <c r="AG39" i="5"/>
  <c r="AF27" i="32" s="1"/>
  <c r="T40" i="5"/>
  <c r="Y40" i="5"/>
  <c r="AA40" i="5"/>
  <c r="AC40" i="5"/>
  <c r="AE40" i="5"/>
  <c r="T41" i="5"/>
  <c r="Y41" i="5"/>
  <c r="AA41" i="5"/>
  <c r="AC41" i="5"/>
  <c r="AE41" i="5"/>
  <c r="AG41" i="5"/>
  <c r="AF29" i="32" s="1"/>
  <c r="T42" i="5"/>
  <c r="Y42" i="5"/>
  <c r="AA42" i="5"/>
  <c r="AC42" i="5"/>
  <c r="AE42" i="5"/>
  <c r="AG42" i="5"/>
  <c r="T43" i="5"/>
  <c r="AA43" i="5"/>
  <c r="AC43" i="5"/>
  <c r="AE43" i="5"/>
  <c r="AG43" i="5"/>
  <c r="T44" i="5"/>
  <c r="Y44" i="5"/>
  <c r="AA44" i="5"/>
  <c r="AC44" i="5"/>
  <c r="AE44" i="5"/>
  <c r="AG44" i="5"/>
  <c r="T45" i="5"/>
  <c r="Y45" i="5"/>
  <c r="AA45" i="5"/>
  <c r="AE45" i="5"/>
  <c r="AG45" i="5"/>
  <c r="T46" i="5"/>
  <c r="Y46" i="5"/>
  <c r="AC46" i="5"/>
  <c r="AE46" i="5"/>
  <c r="AG46" i="5"/>
  <c r="T47" i="5"/>
  <c r="AA47" i="5"/>
  <c r="AC47" i="5"/>
  <c r="AE47" i="5"/>
  <c r="AG47" i="5"/>
  <c r="AF30" i="32" s="1"/>
  <c r="T48" i="5"/>
  <c r="Y48" i="5"/>
  <c r="AA48" i="5"/>
  <c r="AC48" i="5"/>
  <c r="AE48" i="5"/>
  <c r="AG48" i="5"/>
  <c r="T49" i="5"/>
  <c r="AA49" i="5"/>
  <c r="AC49" i="5"/>
  <c r="AE49" i="5"/>
  <c r="AG49" i="5"/>
  <c r="T50" i="5"/>
  <c r="Y50" i="5"/>
  <c r="AA50" i="5"/>
  <c r="AC50" i="5"/>
  <c r="AE50" i="5"/>
  <c r="AG50" i="5"/>
  <c r="T51" i="5"/>
  <c r="Y51" i="5"/>
  <c r="AA51" i="5"/>
  <c r="AC51" i="5"/>
  <c r="AE51" i="5"/>
  <c r="AG51" i="5"/>
  <c r="T52" i="5"/>
  <c r="Y52" i="5"/>
  <c r="AC52" i="5"/>
  <c r="AE52" i="5"/>
  <c r="AG52" i="5"/>
  <c r="T53" i="5"/>
  <c r="Y53" i="5"/>
  <c r="AA53" i="5"/>
  <c r="AC53" i="5"/>
  <c r="AE53" i="5"/>
  <c r="AG53" i="5"/>
  <c r="T54" i="5"/>
  <c r="Y54" i="5"/>
  <c r="AA54" i="5"/>
  <c r="AC54" i="5"/>
  <c r="AE54" i="5"/>
  <c r="AG54" i="5"/>
  <c r="T55" i="5"/>
  <c r="Y55" i="5"/>
  <c r="AA55" i="5"/>
  <c r="AC55" i="5"/>
  <c r="AE55" i="5"/>
  <c r="AG55" i="5"/>
  <c r="T56" i="5"/>
  <c r="Y56" i="5"/>
  <c r="AA56" i="5"/>
  <c r="AC56" i="5"/>
  <c r="AE56" i="5"/>
  <c r="AG56" i="5"/>
  <c r="T57" i="5"/>
  <c r="Y57" i="5"/>
  <c r="AA57" i="5"/>
  <c r="AC57" i="5"/>
  <c r="AE57" i="5"/>
  <c r="AG57" i="5"/>
  <c r="T58" i="5"/>
  <c r="Y58" i="5"/>
  <c r="AA58" i="5"/>
  <c r="AC58" i="5"/>
  <c r="AG58" i="5"/>
  <c r="T59" i="5"/>
  <c r="Y59" i="5"/>
  <c r="AA59" i="5"/>
  <c r="AC59" i="5"/>
  <c r="AE59" i="5"/>
  <c r="AG59" i="5"/>
  <c r="T60" i="5"/>
  <c r="Y60" i="5"/>
  <c r="AA60" i="5"/>
  <c r="AC60" i="5"/>
  <c r="AE60" i="5"/>
  <c r="AG60" i="5"/>
  <c r="T61" i="5"/>
  <c r="Y61" i="5"/>
  <c r="AA61" i="5"/>
  <c r="AC61" i="5"/>
  <c r="AE61" i="5"/>
  <c r="AG61" i="5"/>
  <c r="T62" i="5"/>
  <c r="AA62" i="5"/>
  <c r="AC62" i="5"/>
  <c r="AE62" i="5"/>
  <c r="AG62" i="5"/>
  <c r="T63" i="5"/>
  <c r="Y63" i="5"/>
  <c r="AA63" i="5"/>
  <c r="AC63" i="5"/>
  <c r="AE63" i="5"/>
  <c r="AG63" i="5"/>
  <c r="T64" i="5"/>
  <c r="Y64" i="5"/>
  <c r="AA64" i="5"/>
  <c r="AC64" i="5"/>
  <c r="AE64" i="5"/>
  <c r="AG64" i="5"/>
  <c r="T65" i="5"/>
  <c r="AA65" i="5"/>
  <c r="AC65" i="5"/>
  <c r="AE65" i="5"/>
  <c r="AG65" i="5"/>
  <c r="T66" i="5"/>
  <c r="AA66" i="5"/>
  <c r="AC66" i="5"/>
  <c r="AE66" i="5"/>
  <c r="AG66" i="5"/>
  <c r="AF32" i="32" l="1"/>
  <c r="AF19" i="32"/>
  <c r="AF25" i="32"/>
  <c r="AF18" i="32"/>
  <c r="AF21" i="32"/>
  <c r="AF23" i="32"/>
  <c r="AF37" i="32"/>
  <c r="AF31" i="32"/>
  <c r="AF33" i="32"/>
  <c r="AF34" i="32"/>
  <c r="AF17" i="32"/>
  <c r="AF24" i="32"/>
  <c r="AF35" i="32"/>
  <c r="AF36" i="32"/>
  <c r="AF20" i="32"/>
  <c r="T24" i="5"/>
  <c r="T20" i="5"/>
  <c r="J64" i="5"/>
  <c r="J60" i="5" l="1"/>
  <c r="J16" i="5" l="1"/>
  <c r="K16" i="5"/>
  <c r="U16" i="5" s="1"/>
  <c r="J17" i="5" l="1"/>
  <c r="J18" i="5"/>
  <c r="J19" i="5"/>
  <c r="J20" i="5"/>
  <c r="J21"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1" i="5"/>
  <c r="J62" i="5"/>
  <c r="J63" i="5"/>
  <c r="J65" i="5"/>
  <c r="J66" i="5"/>
  <c r="F16" i="5" l="1"/>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5" i="5"/>
  <c r="F66" i="5"/>
  <c r="K50" i="5" l="1"/>
  <c r="K35" i="5"/>
  <c r="K47" i="5"/>
  <c r="K27" i="5"/>
  <c r="U27" i="5" s="1"/>
  <c r="K22" i="5"/>
  <c r="K36" i="5"/>
  <c r="K55" i="5"/>
  <c r="U55" i="5" s="1"/>
  <c r="K20" i="5"/>
  <c r="K38" i="5"/>
  <c r="U38" i="5" s="1"/>
  <c r="K46" i="5"/>
  <c r="U46" i="5" s="1"/>
  <c r="K54" i="5"/>
  <c r="K24" i="5"/>
  <c r="U24" i="5" s="1"/>
  <c r="K30" i="5"/>
  <c r="K49" i="5"/>
  <c r="U49" i="5" s="1"/>
  <c r="K61" i="5"/>
  <c r="K62" i="5"/>
  <c r="U62" i="5" s="1"/>
  <c r="K25" i="5"/>
  <c r="K37" i="5"/>
  <c r="K63" i="5"/>
  <c r="K19" i="5"/>
  <c r="K53" i="5"/>
  <c r="U53" i="5" s="1"/>
  <c r="K59" i="5"/>
  <c r="K21" i="5"/>
  <c r="K64" i="5"/>
  <c r="K26" i="5"/>
  <c r="K34" i="5"/>
  <c r="U34" i="5" s="1"/>
  <c r="K39" i="5"/>
  <c r="K48" i="5"/>
  <c r="U48" i="5" s="1"/>
  <c r="K40" i="5"/>
  <c r="K51" i="5"/>
  <c r="K32" i="5"/>
  <c r="K43" i="5"/>
  <c r="K31" i="5"/>
  <c r="K60" i="5"/>
  <c r="K65" i="5"/>
  <c r="U65" i="5" s="1"/>
  <c r="K33" i="5"/>
  <c r="U33" i="5" s="1"/>
  <c r="K17" i="5"/>
  <c r="K29" i="5"/>
  <c r="U29" i="5" s="1"/>
  <c r="K56" i="5"/>
  <c r="U56" i="5" s="1"/>
  <c r="K28" i="5"/>
  <c r="K45" i="5"/>
  <c r="U45" i="5" s="1"/>
  <c r="K52" i="5"/>
  <c r="U52" i="5" s="1"/>
  <c r="K58" i="5"/>
  <c r="K41" i="5"/>
  <c r="K18" i="5"/>
  <c r="K42" i="5"/>
  <c r="U42" i="5" s="1"/>
  <c r="K44" i="5"/>
  <c r="U44" i="5" s="1"/>
  <c r="K66" i="5"/>
  <c r="U66" i="5" s="1"/>
  <c r="K57" i="5"/>
  <c r="U57" i="5" s="1"/>
  <c r="K23" i="5"/>
  <c r="U23" i="5" s="1"/>
  <c r="R31" i="5"/>
  <c r="U18" i="5" l="1"/>
  <c r="U54" i="5"/>
  <c r="U20" i="5"/>
  <c r="U32" i="5"/>
  <c r="U28" i="5"/>
  <c r="U21" i="5"/>
  <c r="U59" i="5"/>
  <c r="U36" i="5"/>
  <c r="U39" i="5"/>
  <c r="U17" i="5"/>
  <c r="U22" i="5"/>
  <c r="U43" i="5"/>
  <c r="U40" i="5"/>
  <c r="U58" i="5"/>
  <c r="U26" i="5"/>
  <c r="U19" i="5"/>
  <c r="U61" i="5"/>
  <c r="U41" i="5"/>
  <c r="U63" i="5"/>
  <c r="U64" i="5"/>
  <c r="U35" i="5"/>
  <c r="U51" i="5"/>
  <c r="U30" i="5"/>
  <c r="U47" i="5"/>
  <c r="U60" i="5"/>
  <c r="U37" i="5"/>
  <c r="U31" i="5"/>
  <c r="U25" i="5"/>
  <c r="U50"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17DDF5-E635-45B1-8154-E2B4758D5903}" keepAlive="1" name="Query - daily" description="Connection to the 'daily' query in the workbook." type="5" refreshedVersion="6" background="1">
    <dbPr connection="Provider=Microsoft.Mashup.OleDb.1;Data Source=$Workbook$;Location=daily;Extended Properties=&quot;&quot;" command="SELECT * FROM [daily]"/>
  </connection>
  <connection id="2" xr16:uid="{D6405E22-7291-4ED7-B852-8B2E3EA2C3A5}" keepAlive="1" name="Query - daily (2)" description="Connection to the 'daily (2)' query in the workbook." type="5" refreshedVersion="6" background="1">
    <dbPr connection="Provider=Microsoft.Mashup.OleDb.1;Data Source=$Workbook$;Location=&quot;daily (2)&quot;;Extended Properties=&quot;&quot;" command="SELECT * FROM [daily (2)]"/>
  </connection>
  <connection id="3" xr16:uid="{3511546A-B468-43AD-94FE-B02D3C2DA1FE}" keepAlive="1" name="Query - daily (3)" description="Connection to the 'daily (3)' query in the workbook." type="5" refreshedVersion="6" background="1">
    <dbPr connection="Provider=Microsoft.Mashup.OleDb.1;Data Source=$Workbook$;Location=&quot;daily (3)&quot;;Extended Properties=&quot;&quot;" command="SELECT * FROM [daily (3)]"/>
  </connection>
  <connection id="4" xr16:uid="{D1F68A38-446C-41C7-8785-B77B01B18BC7}" keepAlive="1" name="Query - rt" description="Connection to the 'rt' query in the workbook." type="5" refreshedVersion="6" background="1" saveData="1">
    <dbPr connection="Provider=Microsoft.Mashup.OleDb.1;Data Source=$Workbook$;Location=rt;Extended Properties=&quot;&quot;" command="SELECT * FROM [rt]"/>
  </connection>
</connections>
</file>

<file path=xl/sharedStrings.xml><?xml version="1.0" encoding="utf-8"?>
<sst xmlns="http://schemas.openxmlformats.org/spreadsheetml/2006/main" count="688" uniqueCount="278">
  <si>
    <t>Rt</t>
  </si>
  <si>
    <t>Test Positive Rate</t>
  </si>
  <si>
    <t>Low</t>
  </si>
  <si>
    <t>High</t>
  </si>
  <si>
    <t>Value</t>
  </si>
  <si>
    <t>State</t>
  </si>
  <si>
    <t>Population</t>
  </si>
  <si>
    <t>Change in SD index</t>
  </si>
  <si>
    <t>Change in Rt</t>
  </si>
  <si>
    <t>Stratified Rt</t>
  </si>
  <si>
    <t>tests per case</t>
  </si>
  <si>
    <t>Change in Test Positive Rate</t>
  </si>
  <si>
    <t>Stratified Test Positive Rate</t>
  </si>
  <si>
    <t>Outbreak Index</t>
  </si>
  <si>
    <t>Change in Weekly Deaths</t>
  </si>
  <si>
    <t>Weekly Death Rate per 100K Population</t>
  </si>
  <si>
    <t>Change in Total Deaths</t>
  </si>
  <si>
    <t>Cumulative Death Rate per 100K</t>
  </si>
  <si>
    <t>CA</t>
  </si>
  <si>
    <t>CT</t>
  </si>
  <si>
    <t>DC</t>
  </si>
  <si>
    <t>DE</t>
  </si>
  <si>
    <t>HI</t>
  </si>
  <si>
    <t>KY</t>
  </si>
  <si>
    <t>MA</t>
  </si>
  <si>
    <t>MD</t>
  </si>
  <si>
    <t>MI</t>
  </si>
  <si>
    <t>NC</t>
  </si>
  <si>
    <t>NH</t>
  </si>
  <si>
    <t>NJ</t>
  </si>
  <si>
    <t>NM</t>
  </si>
  <si>
    <t>NV</t>
  </si>
  <si>
    <t>NY</t>
  </si>
  <si>
    <t>OR</t>
  </si>
  <si>
    <t>PA</t>
  </si>
  <si>
    <t>RI</t>
  </si>
  <si>
    <t>VA</t>
  </si>
  <si>
    <t>VT</t>
  </si>
  <si>
    <t>WA</t>
  </si>
  <si>
    <t>WI</t>
  </si>
  <si>
    <t>AL</t>
  </si>
  <si>
    <t>AR</t>
  </si>
  <si>
    <t>AZ</t>
  </si>
  <si>
    <t>CO</t>
  </si>
  <si>
    <t>FL</t>
  </si>
  <si>
    <t>GA</t>
  </si>
  <si>
    <t>IA</t>
  </si>
  <si>
    <t>ID</t>
  </si>
  <si>
    <t>IL</t>
  </si>
  <si>
    <t>IN</t>
  </si>
  <si>
    <t>KS</t>
  </si>
  <si>
    <t>LA</t>
  </si>
  <si>
    <t>ME</t>
  </si>
  <si>
    <t>MO</t>
  </si>
  <si>
    <t>MS</t>
  </si>
  <si>
    <t>NE</t>
  </si>
  <si>
    <t>OH</t>
  </si>
  <si>
    <t>OK</t>
  </si>
  <si>
    <t>SC</t>
  </si>
  <si>
    <t>TX</t>
  </si>
  <si>
    <t>WV</t>
  </si>
  <si>
    <t>WY</t>
  </si>
  <si>
    <t>AK</t>
  </si>
  <si>
    <t>MN</t>
  </si>
  <si>
    <t>MT</t>
  </si>
  <si>
    <t>ND</t>
  </si>
  <si>
    <t>SD</t>
  </si>
  <si>
    <t>UT</t>
  </si>
  <si>
    <t>table with row headers in column A and column headers in rows 3 through 4. (leading dots indicate sub-parts)</t>
  </si>
  <si>
    <t>Table 1. Annual Estimates of the Resident Population for the United States, Regions, States, and Puerto Rico: April 1, 2010 to July 1, 2019</t>
  </si>
  <si>
    <t>Geographic Area</t>
  </si>
  <si>
    <t>Population Estimate (as of July 1)</t>
  </si>
  <si>
    <t>Census</t>
  </si>
  <si>
    <t>Estimates Base</t>
  </si>
  <si>
    <t>United States</t>
  </si>
  <si>
    <t>Northeast</t>
  </si>
  <si>
    <t>Midwest</t>
  </si>
  <si>
    <t>South</t>
  </si>
  <si>
    <t>West</t>
  </si>
  <si>
    <t>State Abbrv</t>
  </si>
  <si>
    <r>
      <t>.</t>
    </r>
    <r>
      <rPr>
        <sz val="10"/>
        <color theme="1"/>
        <rFont val="MS sans serif"/>
      </rPr>
      <t>Alabama</t>
    </r>
  </si>
  <si>
    <r>
      <t>.</t>
    </r>
    <r>
      <rPr>
        <sz val="10"/>
        <color theme="1"/>
        <rFont val="MS sans serif"/>
      </rPr>
      <t>Alaska</t>
    </r>
  </si>
  <si>
    <r>
      <t>.</t>
    </r>
    <r>
      <rPr>
        <sz val="10"/>
        <color theme="1"/>
        <rFont val="MS sans serif"/>
      </rPr>
      <t>Arizona</t>
    </r>
  </si>
  <si>
    <r>
      <t>.</t>
    </r>
    <r>
      <rPr>
        <sz val="10"/>
        <color theme="1"/>
        <rFont val="MS sans serif"/>
      </rPr>
      <t>Arkansas</t>
    </r>
  </si>
  <si>
    <r>
      <t>.</t>
    </r>
    <r>
      <rPr>
        <sz val="10"/>
        <color theme="1"/>
        <rFont val="MS sans serif"/>
      </rPr>
      <t>California</t>
    </r>
  </si>
  <si>
    <r>
      <t>.</t>
    </r>
    <r>
      <rPr>
        <sz val="10"/>
        <color theme="1"/>
        <rFont val="MS sans serif"/>
      </rPr>
      <t>Colorado</t>
    </r>
  </si>
  <si>
    <r>
      <t>.</t>
    </r>
    <r>
      <rPr>
        <sz val="10"/>
        <color theme="1"/>
        <rFont val="MS sans serif"/>
      </rPr>
      <t>Connecticut</t>
    </r>
  </si>
  <si>
    <r>
      <t>.</t>
    </r>
    <r>
      <rPr>
        <sz val="10"/>
        <color theme="1"/>
        <rFont val="MS sans serif"/>
      </rPr>
      <t>Delaware</t>
    </r>
  </si>
  <si>
    <r>
      <t>.</t>
    </r>
    <r>
      <rPr>
        <sz val="10"/>
        <color theme="1"/>
        <rFont val="MS sans serif"/>
      </rPr>
      <t>District of Columbia</t>
    </r>
  </si>
  <si>
    <r>
      <t>.</t>
    </r>
    <r>
      <rPr>
        <sz val="10"/>
        <color theme="1"/>
        <rFont val="MS sans serif"/>
      </rPr>
      <t>Florida</t>
    </r>
  </si>
  <si>
    <r>
      <t>.</t>
    </r>
    <r>
      <rPr>
        <sz val="10"/>
        <color theme="1"/>
        <rFont val="MS sans serif"/>
      </rPr>
      <t>Georgia</t>
    </r>
  </si>
  <si>
    <r>
      <t>.</t>
    </r>
    <r>
      <rPr>
        <sz val="10"/>
        <color theme="1"/>
        <rFont val="MS sans serif"/>
      </rPr>
      <t>Hawaii</t>
    </r>
  </si>
  <si>
    <r>
      <t>.</t>
    </r>
    <r>
      <rPr>
        <sz val="10"/>
        <color theme="1"/>
        <rFont val="MS sans serif"/>
      </rPr>
      <t>Idaho</t>
    </r>
  </si>
  <si>
    <r>
      <t>.</t>
    </r>
    <r>
      <rPr>
        <sz val="10"/>
        <color theme="1"/>
        <rFont val="MS sans serif"/>
      </rPr>
      <t>Illinois</t>
    </r>
  </si>
  <si>
    <r>
      <t>.</t>
    </r>
    <r>
      <rPr>
        <sz val="10"/>
        <color theme="1"/>
        <rFont val="MS sans serif"/>
      </rPr>
      <t>Indiana</t>
    </r>
  </si>
  <si>
    <r>
      <t>.</t>
    </r>
    <r>
      <rPr>
        <sz val="10"/>
        <color theme="1"/>
        <rFont val="MS sans serif"/>
      </rPr>
      <t>Iowa</t>
    </r>
  </si>
  <si>
    <r>
      <t>.</t>
    </r>
    <r>
      <rPr>
        <sz val="10"/>
        <color theme="1"/>
        <rFont val="MS sans serif"/>
      </rPr>
      <t>Kansas</t>
    </r>
  </si>
  <si>
    <r>
      <t>.</t>
    </r>
    <r>
      <rPr>
        <sz val="10"/>
        <color theme="1"/>
        <rFont val="MS sans serif"/>
      </rPr>
      <t>Kentucky</t>
    </r>
  </si>
  <si>
    <r>
      <t>.</t>
    </r>
    <r>
      <rPr>
        <sz val="10"/>
        <color theme="1"/>
        <rFont val="MS sans serif"/>
      </rPr>
      <t>Louisiana</t>
    </r>
  </si>
  <si>
    <r>
      <t>.</t>
    </r>
    <r>
      <rPr>
        <sz val="10"/>
        <color theme="1"/>
        <rFont val="MS sans serif"/>
      </rPr>
      <t>Maine</t>
    </r>
  </si>
  <si>
    <r>
      <t>.</t>
    </r>
    <r>
      <rPr>
        <sz val="10"/>
        <color theme="1"/>
        <rFont val="MS sans serif"/>
      </rPr>
      <t>Maryland</t>
    </r>
  </si>
  <si>
    <r>
      <t>.</t>
    </r>
    <r>
      <rPr>
        <sz val="10"/>
        <color theme="1"/>
        <rFont val="MS sans serif"/>
      </rPr>
      <t>Massachusetts</t>
    </r>
  </si>
  <si>
    <r>
      <t>.</t>
    </r>
    <r>
      <rPr>
        <sz val="10"/>
        <color theme="1"/>
        <rFont val="MS sans serif"/>
      </rPr>
      <t>Michigan</t>
    </r>
  </si>
  <si>
    <r>
      <t>.</t>
    </r>
    <r>
      <rPr>
        <sz val="10"/>
        <color theme="1"/>
        <rFont val="MS sans serif"/>
      </rPr>
      <t>Minnesota</t>
    </r>
  </si>
  <si>
    <r>
      <t>.</t>
    </r>
    <r>
      <rPr>
        <sz val="10"/>
        <color theme="1"/>
        <rFont val="MS sans serif"/>
      </rPr>
      <t>Mississippi</t>
    </r>
  </si>
  <si>
    <r>
      <t>.</t>
    </r>
    <r>
      <rPr>
        <sz val="10"/>
        <color theme="1"/>
        <rFont val="MS sans serif"/>
      </rPr>
      <t>Missouri</t>
    </r>
  </si>
  <si>
    <r>
      <t>.</t>
    </r>
    <r>
      <rPr>
        <sz val="10"/>
        <color theme="1"/>
        <rFont val="MS sans serif"/>
      </rPr>
      <t>Montana</t>
    </r>
  </si>
  <si>
    <r>
      <t>.</t>
    </r>
    <r>
      <rPr>
        <sz val="10"/>
        <color theme="1"/>
        <rFont val="MS sans serif"/>
      </rPr>
      <t>Nebraska</t>
    </r>
  </si>
  <si>
    <t>NB</t>
  </si>
  <si>
    <r>
      <t>.</t>
    </r>
    <r>
      <rPr>
        <sz val="10"/>
        <color theme="1"/>
        <rFont val="MS sans serif"/>
      </rPr>
      <t>Nevada</t>
    </r>
  </si>
  <si>
    <r>
      <t>.</t>
    </r>
    <r>
      <rPr>
        <sz val="10"/>
        <color theme="1"/>
        <rFont val="MS sans serif"/>
      </rPr>
      <t>New Hampshire</t>
    </r>
  </si>
  <si>
    <r>
      <t>.</t>
    </r>
    <r>
      <rPr>
        <sz val="10"/>
        <color theme="1"/>
        <rFont val="MS sans serif"/>
      </rPr>
      <t>New Jersey</t>
    </r>
  </si>
  <si>
    <r>
      <t>.</t>
    </r>
    <r>
      <rPr>
        <sz val="10"/>
        <color theme="1"/>
        <rFont val="MS sans serif"/>
      </rPr>
      <t>New Mexico</t>
    </r>
  </si>
  <si>
    <r>
      <t>.</t>
    </r>
    <r>
      <rPr>
        <sz val="10"/>
        <color theme="1"/>
        <rFont val="MS sans serif"/>
      </rPr>
      <t>New York</t>
    </r>
  </si>
  <si>
    <r>
      <t>.</t>
    </r>
    <r>
      <rPr>
        <sz val="10"/>
        <color theme="1"/>
        <rFont val="MS sans serif"/>
      </rPr>
      <t>North Carolina</t>
    </r>
  </si>
  <si>
    <r>
      <t>.</t>
    </r>
    <r>
      <rPr>
        <sz val="10"/>
        <color theme="1"/>
        <rFont val="MS sans serif"/>
      </rPr>
      <t>North Dakota</t>
    </r>
  </si>
  <si>
    <r>
      <t>.</t>
    </r>
    <r>
      <rPr>
        <sz val="10"/>
        <color theme="1"/>
        <rFont val="MS sans serif"/>
      </rPr>
      <t>Ohio</t>
    </r>
  </si>
  <si>
    <r>
      <t>.</t>
    </r>
    <r>
      <rPr>
        <sz val="10"/>
        <color theme="1"/>
        <rFont val="MS sans serif"/>
      </rPr>
      <t>Oklahoma</t>
    </r>
  </si>
  <si>
    <r>
      <t>.</t>
    </r>
    <r>
      <rPr>
        <sz val="10"/>
        <color theme="1"/>
        <rFont val="MS sans serif"/>
      </rPr>
      <t>Oregon</t>
    </r>
  </si>
  <si>
    <r>
      <t>.</t>
    </r>
    <r>
      <rPr>
        <sz val="10"/>
        <color theme="1"/>
        <rFont val="MS sans serif"/>
      </rPr>
      <t>Pennsylvania</t>
    </r>
  </si>
  <si>
    <r>
      <t>.</t>
    </r>
    <r>
      <rPr>
        <sz val="10"/>
        <color theme="1"/>
        <rFont val="MS sans serif"/>
      </rPr>
      <t>Rhode Island</t>
    </r>
  </si>
  <si>
    <r>
      <t>.</t>
    </r>
    <r>
      <rPr>
        <sz val="10"/>
        <color theme="1"/>
        <rFont val="MS sans serif"/>
      </rPr>
      <t>South Carolina</t>
    </r>
  </si>
  <si>
    <r>
      <t>.</t>
    </r>
    <r>
      <rPr>
        <sz val="10"/>
        <color theme="1"/>
        <rFont val="MS sans serif"/>
      </rPr>
      <t>South Dakota</t>
    </r>
  </si>
  <si>
    <r>
      <t>.</t>
    </r>
    <r>
      <rPr>
        <sz val="10"/>
        <color theme="1"/>
        <rFont val="MS sans serif"/>
      </rPr>
      <t>Tennessee</t>
    </r>
  </si>
  <si>
    <t>TE</t>
  </si>
  <si>
    <r>
      <t>.</t>
    </r>
    <r>
      <rPr>
        <sz val="10"/>
        <color theme="1"/>
        <rFont val="MS sans serif"/>
      </rPr>
      <t>Texas</t>
    </r>
  </si>
  <si>
    <r>
      <t>.</t>
    </r>
    <r>
      <rPr>
        <sz val="10"/>
        <color theme="1"/>
        <rFont val="MS sans serif"/>
      </rPr>
      <t>Utah</t>
    </r>
  </si>
  <si>
    <t>UH</t>
  </si>
  <si>
    <r>
      <t>.</t>
    </r>
    <r>
      <rPr>
        <sz val="10"/>
        <color theme="1"/>
        <rFont val="MS sans serif"/>
      </rPr>
      <t>Vermont</t>
    </r>
  </si>
  <si>
    <r>
      <t>.</t>
    </r>
    <r>
      <rPr>
        <sz val="10"/>
        <color theme="1"/>
        <rFont val="MS sans serif"/>
      </rPr>
      <t>Virginia</t>
    </r>
  </si>
  <si>
    <r>
      <t>.</t>
    </r>
    <r>
      <rPr>
        <sz val="10"/>
        <color theme="1"/>
        <rFont val="MS sans serif"/>
      </rPr>
      <t>Washington</t>
    </r>
  </si>
  <si>
    <r>
      <t>.</t>
    </r>
    <r>
      <rPr>
        <sz val="10"/>
        <color theme="1"/>
        <rFont val="MS sans serif"/>
      </rPr>
      <t>West Virginia</t>
    </r>
  </si>
  <si>
    <r>
      <t>.</t>
    </r>
    <r>
      <rPr>
        <sz val="10"/>
        <color theme="1"/>
        <rFont val="MS sans serif"/>
      </rPr>
      <t>Wisconsin</t>
    </r>
  </si>
  <si>
    <r>
      <t>.</t>
    </r>
    <r>
      <rPr>
        <sz val="10"/>
        <color theme="1"/>
        <rFont val="MS sans serif"/>
      </rPr>
      <t>Wyoming</t>
    </r>
  </si>
  <si>
    <t>Puerto Rico</t>
  </si>
  <si>
    <t>Note: The estimates are based on the 2010 Census and reflect changes to the April 1, 2010 population due to the Count Question Resolution program and geographic program revisions. See Geographic Terms and Definitions at http://www.census.gov/programs-surveys/popest/guidance-geographies/terms-and-definitions.html for a list of the states that are included in each region.  All geographic boundaries for the 2019 population estimates series except statistical area delineations are as of January 1, 2019.  For population estimates methodology statements, see http://www.census.gov/programs-surveys/popest/technical-documentation/methodology.html.</t>
  </si>
  <si>
    <t>Suggested Citation:</t>
  </si>
  <si>
    <t>Table 1. Annual Estimates of the Resident Population for the United States, Regions, States, and Puerto Rico: April 1, 2010 to July 1, 2019 (NST-EST2019-01)</t>
  </si>
  <si>
    <t>Source: U.S. Census Bureau, Population Division</t>
  </si>
  <si>
    <t>Release Date: December 2019</t>
  </si>
  <si>
    <t>TN</t>
  </si>
  <si>
    <t>Change in Total Tests</t>
  </si>
  <si>
    <t>Change in Pos Test Increase</t>
  </si>
  <si>
    <t>Tests per 100K Population</t>
  </si>
  <si>
    <t>Kerry Locations</t>
  </si>
  <si>
    <t>PepsiCo Locations (Food)</t>
  </si>
  <si>
    <t xml:space="preserve">Jonesboro, AR </t>
  </si>
  <si>
    <t xml:space="preserve">Casa Grande, AZ </t>
  </si>
  <si>
    <t xml:space="preserve">Denver, CO </t>
  </si>
  <si>
    <t>Dayville, CT</t>
  </si>
  <si>
    <t>Orlando, FL</t>
  </si>
  <si>
    <t>Cedar Rapids, IA</t>
  </si>
  <si>
    <t>Bridgeview, IL
Danville, IL</t>
  </si>
  <si>
    <t>Frankfort, IN</t>
  </si>
  <si>
    <t xml:space="preserve">Topeka, KS </t>
  </si>
  <si>
    <t xml:space="preserve">Randolph, MA </t>
  </si>
  <si>
    <t>Aberdeen, MD</t>
  </si>
  <si>
    <t>Columbia, MO</t>
  </si>
  <si>
    <t>Charlotte, NC</t>
  </si>
  <si>
    <t xml:space="preserve">Binghampton, NY </t>
  </si>
  <si>
    <t>Canton, OH
Wooster, OH</t>
  </si>
  <si>
    <t xml:space="preserve">Williamsport, PA
York, PA </t>
  </si>
  <si>
    <t xml:space="preserve">Fayetteville, TN
Pulaski, TN </t>
  </si>
  <si>
    <t>Arlington, TX
Irving, TX
Rosenberg, TX
San Antonia, TX</t>
  </si>
  <si>
    <t>Salt Lake City, UT</t>
  </si>
  <si>
    <t xml:space="preserve">Lynchburg, VA </t>
  </si>
  <si>
    <t>Vancouver, WA</t>
  </si>
  <si>
    <t>Beloit, WI</t>
  </si>
  <si>
    <t>Montgomery, AL</t>
  </si>
  <si>
    <t>Hot Springs, AR</t>
  </si>
  <si>
    <t>Commerce, CA
Mecca, CA
Montebello, CA
Union City, CA</t>
  </si>
  <si>
    <t>Lakeland, FL
Plant City, FL</t>
  </si>
  <si>
    <t>Banks, GA
Calhoun, GA
Rome, GA
Savannah, GA</t>
  </si>
  <si>
    <t>Fredricksburg, IA
Vinton, IA</t>
  </si>
  <si>
    <t>Carol Stream, IL
Chicago, IL
Elk Grove Village, IL
Melrose Park, IL
Lake Zurich, IL</t>
  </si>
  <si>
    <t>Evansville, IN
West Bend, IN</t>
  </si>
  <si>
    <t>New Century, KS</t>
  </si>
  <si>
    <t>Baltimore, MD</t>
  </si>
  <si>
    <t xml:space="preserve">Portland, ME </t>
  </si>
  <si>
    <t>Blue Earth, MN
Owatonna, MN
Rochester, MN</t>
  </si>
  <si>
    <t>Affton, MO
Greenville, MO
Nixa, MO
Springfield, MO</t>
  </si>
  <si>
    <t>Vicksburg, MS</t>
  </si>
  <si>
    <t>Clark, NJ
Clark Savory, NJ</t>
  </si>
  <si>
    <t>North Rose, NY
Norwich, NY</t>
  </si>
  <si>
    <t>Byesville, OH</t>
  </si>
  <si>
    <t>Crossville, TN</t>
  </si>
  <si>
    <t>Forth Worth, TX</t>
  </si>
  <si>
    <t>Harrisonburg, VA</t>
  </si>
  <si>
    <t>Seattle, WA
Summer, WA</t>
  </si>
  <si>
    <t>Beloit, WI
Jackson, WI
Manitowoc, WI
Owen, WI
Rhinelander, WI
Rothschilde, WI
Sturtevant, WI
Vesper, WI</t>
  </si>
  <si>
    <t xml:space="preserve">Kathleen, GA </t>
  </si>
  <si>
    <t>Per Capita Positive Tests (July 07 - July 13) per 100K</t>
  </si>
  <si>
    <t xml:space="preserve">Modesto, CA
Rancho Cucamonga, CA
Bakersfield, CA </t>
  </si>
  <si>
    <t>CA*</t>
  </si>
  <si>
    <t>FL*</t>
  </si>
  <si>
    <t>AZ*</t>
  </si>
  <si>
    <t>NM*</t>
  </si>
  <si>
    <t>CO*</t>
  </si>
  <si>
    <t>NV*</t>
  </si>
  <si>
    <t>TX*</t>
  </si>
  <si>
    <t>LA*</t>
  </si>
  <si>
    <t>MI*</t>
  </si>
  <si>
    <r>
      <t>WA</t>
    </r>
    <r>
      <rPr>
        <sz val="11"/>
        <color theme="1"/>
        <rFont val="Calibri"/>
        <family val="2"/>
      </rPr>
      <t>†</t>
    </r>
  </si>
  <si>
    <t>OR†</t>
  </si>
  <si>
    <t>ID†</t>
  </si>
  <si>
    <t>WY†</t>
  </si>
  <si>
    <t>AR†</t>
  </si>
  <si>
    <t>AL†</t>
  </si>
  <si>
    <t>MS†</t>
  </si>
  <si>
    <t>NC†</t>
  </si>
  <si>
    <t>SC†</t>
  </si>
  <si>
    <t>IN†</t>
  </si>
  <si>
    <t>NJ†</t>
  </si>
  <si>
    <t>DE†</t>
  </si>
  <si>
    <t>CT†</t>
  </si>
  <si>
    <t xml:space="preserve">Jonesboro, AR† </t>
  </si>
  <si>
    <t>Dayville, CT†</t>
  </si>
  <si>
    <t xml:space="preserve">Modesto, CA*
Rancho Cucamonga, CA
Bakersfield, CA </t>
  </si>
  <si>
    <t xml:space="preserve">Casa Grande, AZ* </t>
  </si>
  <si>
    <t>Denver, CO*</t>
  </si>
  <si>
    <t>Orlando, FL*</t>
  </si>
  <si>
    <t>Frankfort, IN†</t>
  </si>
  <si>
    <t>Charlotte, NC†</t>
  </si>
  <si>
    <t>Arlington, TX*
Irving, TX
Rosenberg, TX
San Antonia, TX</t>
  </si>
  <si>
    <t>WA†</t>
  </si>
  <si>
    <t>Vancouver, WA†</t>
  </si>
  <si>
    <t>Montgomery, AL†</t>
  </si>
  <si>
    <t>Hot Springs, AR†</t>
  </si>
  <si>
    <t>Commerce, CA*
Mecca, CA
Montebello, CA
Union City, CA</t>
  </si>
  <si>
    <t>Lakeland, FL*
Plant City, FL</t>
  </si>
  <si>
    <t>Evansville, IN†
West Bend, IN</t>
  </si>
  <si>
    <t>Vicksburg, MS†</t>
  </si>
  <si>
    <t>Clark, NJ†
Clark Savory, NJ</t>
  </si>
  <si>
    <t>Forth Worth, TX*</t>
  </si>
  <si>
    <t>Seattle, WA†
Summer, WA</t>
  </si>
  <si>
    <t>Avg: 29</t>
  </si>
  <si>
    <t>STDEV: 6</t>
  </si>
  <si>
    <t>Social Index Current</t>
  </si>
  <si>
    <t>SD Past</t>
  </si>
  <si>
    <t>Rt Current</t>
  </si>
  <si>
    <t>Rt Past</t>
  </si>
  <si>
    <t>Test Increase Current</t>
  </si>
  <si>
    <t>Increase in Pos Tests Past</t>
  </si>
  <si>
    <t>TPR Current</t>
  </si>
  <si>
    <t>TPR Past</t>
  </si>
  <si>
    <t>Weekly Deaths Current</t>
  </si>
  <si>
    <t>Weekly Deaths Past</t>
  </si>
  <si>
    <t>Total Deaths Current</t>
  </si>
  <si>
    <t>Total Deaths Past</t>
  </si>
  <si>
    <t>Total Tests Current</t>
  </si>
  <si>
    <t>Total Tests Past</t>
  </si>
  <si>
    <t>Social Dist Index Current</t>
  </si>
  <si>
    <t>Social Dist Index Past</t>
  </si>
  <si>
    <t>Rt  Past</t>
  </si>
  <si>
    <t>Increase in Pos Tests Current</t>
  </si>
  <si>
    <t>Increase in Pos Tests  Past</t>
  </si>
  <si>
    <t>Test Positive Rate Current</t>
  </si>
  <si>
    <t>Test Positive Rate Past</t>
  </si>
  <si>
    <t>Deaths in last 7 days Current</t>
  </si>
  <si>
    <t>Deaths in last 7 days Past</t>
  </si>
  <si>
    <t>date</t>
  </si>
  <si>
    <t>Column1</t>
  </si>
  <si>
    <t>Column2</t>
  </si>
  <si>
    <t>Column4</t>
  </si>
  <si>
    <t>2020-08-02</t>
  </si>
  <si>
    <t>RT LIVE</t>
  </si>
  <si>
    <t>Row Labels</t>
  </si>
  <si>
    <t>Grand Total</t>
  </si>
  <si>
    <t>(All)</t>
  </si>
  <si>
    <t>Sum of death</t>
  </si>
  <si>
    <t>Sum of deathIncrease</t>
  </si>
  <si>
    <t>Sum of positiveIncrease</t>
  </si>
  <si>
    <t>Sum of totalTestResultsIncrease</t>
  </si>
  <si>
    <t>MATH</t>
  </si>
  <si>
    <t>Sum of pos</t>
  </si>
  <si>
    <t>Sum of total</t>
  </si>
  <si>
    <t>WEEKLY NUMBERS</t>
  </si>
  <si>
    <t>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</si>
</sst>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mm\ d\,\ yyyy"/>
    <numFmt numFmtId="165" formatCode="0.0"/>
    <numFmt numFmtId="166" formatCode="0.000"/>
    <numFmt numFmtId="167" formatCode="0.000000000"/>
  </numFmts>
  <fonts count="2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8"/>
      <color theme="1"/>
      <name val="arial"/>
      <family val="2"/>
    </font>
    <font>
      <sz val="8"/>
      <name val="arial"/>
      <family val="2"/>
    </font>
    <font>
      <sz val="10"/>
      <color theme="1"/>
      <name val="MS sans serif"/>
    </font>
    <font>
      <b/>
      <sz val="10"/>
      <color theme="1"/>
      <name val="MS sans serif"/>
    </font>
    <font>
      <sz val="10"/>
      <color indexed="9"/>
      <name val="MS sans serif"/>
    </font>
    <font>
      <b/>
      <sz val="10"/>
      <name val="MS sans serif"/>
    </font>
    <font>
      <sz val="10"/>
      <name val="MS sans serif"/>
    </font>
    <font>
      <sz val="11"/>
      <name val="Calibri"/>
      <family val="2"/>
      <scheme val="minor"/>
    </font>
    <font>
      <sz val="8"/>
      <name val="Calibri"/>
      <family val="2"/>
      <scheme val="minor"/>
    </font>
    <font>
      <sz val="11"/>
      <color theme="1"/>
      <name val="Calibri"/>
      <family val="2"/>
    </font>
    <font>
      <sz val="18"/>
      <color theme="1"/>
      <name val="Abad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
      <patternFill patternType="solid">
        <fgColor indexed="9"/>
        <bgColor indexed="64"/>
      </patternFill>
    </fill>
    <fill>
      <patternFill patternType="solid">
        <fgColor rgb="FF00B0F0"/>
        <bgColor indexed="64"/>
      </patternFill>
    </fill>
    <fill>
      <patternFill patternType="solid">
        <fgColor theme="4" tint="-0.249977111117893"/>
        <bgColor indexed="64"/>
      </patternFill>
    </fill>
    <fill>
      <patternFill patternType="solid">
        <fgColor theme="4" tint="0.79998168889431442"/>
        <bgColor theme="4" tint="0.79998168889431442"/>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auto="1"/>
      </right>
      <top/>
      <bottom style="thin">
        <color indexed="64"/>
      </bottom>
      <diagonal/>
    </border>
    <border>
      <left/>
      <right/>
      <top/>
      <bottom style="thin">
        <color indexed="64"/>
      </bottom>
      <diagonal/>
    </border>
    <border>
      <left style="thin">
        <color auto="1"/>
      </left>
      <right/>
      <top/>
      <bottom style="thin">
        <color indexed="64"/>
      </bottom>
      <diagonal/>
    </border>
    <border>
      <left/>
      <right style="thin">
        <color auto="1"/>
      </right>
      <top/>
      <bottom/>
      <diagonal/>
    </border>
    <border>
      <left style="thin">
        <color auto="1"/>
      </left>
      <right/>
      <top/>
      <bottom/>
      <diagonal/>
    </border>
    <border>
      <left/>
      <right style="thin">
        <color auto="1"/>
      </right>
      <top style="thin">
        <color indexed="64"/>
      </top>
      <bottom/>
      <diagonal/>
    </border>
    <border>
      <left/>
      <right/>
      <top style="thin">
        <color indexed="64"/>
      </top>
      <bottom/>
      <diagonal/>
    </border>
    <border>
      <left style="thin">
        <color auto="1"/>
      </left>
      <right/>
      <top style="thin">
        <color indexed="64"/>
      </top>
      <bottom/>
      <diagonal/>
    </border>
    <border>
      <left/>
      <right style="thin">
        <color auto="1"/>
      </right>
      <top style="thin">
        <color indexed="64"/>
      </top>
      <bottom style="thin">
        <color indexed="64"/>
      </bottom>
      <diagonal/>
    </border>
    <border>
      <left/>
      <right/>
      <top style="thin">
        <color indexed="64"/>
      </top>
      <bottom style="thin">
        <color indexed="64"/>
      </bottom>
      <diagonal/>
    </border>
    <border>
      <left style="thin">
        <color auto="1"/>
      </left>
      <right/>
      <top style="thin">
        <color indexed="64"/>
      </top>
      <bottom style="thin">
        <color indexed="64"/>
      </bottom>
      <diagonal/>
    </border>
    <border>
      <left style="thin">
        <color auto="1"/>
      </left>
      <right style="thin">
        <color auto="1"/>
      </right>
      <top/>
      <bottom/>
      <diagonal/>
    </border>
    <border>
      <left style="thin">
        <color auto="1"/>
      </left>
      <right style="thin">
        <color auto="1"/>
      </right>
      <top/>
      <bottom style="thin">
        <color indexed="64"/>
      </bottom>
      <diagonal/>
    </border>
    <border>
      <left style="thin">
        <color auto="1"/>
      </left>
      <right style="thin">
        <color auto="1"/>
      </right>
      <top style="thin">
        <color indexed="64"/>
      </top>
      <bottom style="thin">
        <color indexed="64"/>
      </bottom>
      <diagonal/>
    </border>
    <border>
      <left style="thin">
        <color auto="1"/>
      </left>
      <right style="thin">
        <color auto="1"/>
      </right>
      <top style="thin">
        <color indexed="64"/>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theme="4"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29">
    <xf numFmtId="0" fontId="0" fillId="0" borderId="0" xfId="0"/>
    <xf numFmtId="0" fontId="0" fillId="0" borderId="0" xfId="0" applyProtection="1">
      <protection locked="0"/>
    </xf>
    <xf numFmtId="3" fontId="20" fillId="0" borderId="21" xfId="0" applyNumberFormat="1" applyFont="1" applyBorder="1" applyAlignment="1" applyProtection="1">
      <alignment horizontal="right"/>
      <protection locked="0"/>
    </xf>
    <xf numFmtId="0" fontId="21" fillId="0" borderId="21" xfId="0" applyFont="1" applyBorder="1" applyProtection="1">
      <protection locked="0"/>
    </xf>
    <xf numFmtId="0" fontId="22" fillId="0" borderId="21" xfId="0" applyFont="1" applyBorder="1" applyProtection="1">
      <protection locked="0"/>
    </xf>
    <xf numFmtId="3" fontId="20" fillId="0" borderId="22" xfId="0" applyNumberFormat="1" applyFont="1" applyBorder="1" applyAlignment="1" applyProtection="1">
      <alignment horizontal="right"/>
      <protection locked="0"/>
    </xf>
    <xf numFmtId="0" fontId="21" fillId="0" borderId="22" xfId="0" applyFont="1" applyBorder="1" applyAlignment="1" applyProtection="1">
      <alignment horizontal="left" indent="1"/>
      <protection locked="0"/>
    </xf>
    <xf numFmtId="0" fontId="21" fillId="0" borderId="21" xfId="0" applyFont="1" applyBorder="1" applyAlignment="1" applyProtection="1">
      <alignment horizontal="left" indent="1"/>
      <protection locked="0"/>
    </xf>
    <xf numFmtId="3" fontId="20" fillId="0" borderId="23" xfId="0" applyNumberFormat="1" applyFont="1" applyBorder="1" applyAlignment="1" applyProtection="1">
      <alignment horizontal="right"/>
      <protection locked="0"/>
    </xf>
    <xf numFmtId="0" fontId="21" fillId="0" borderId="23" xfId="0" applyFont="1" applyBorder="1" applyAlignment="1" applyProtection="1">
      <alignment horizontal="left" indent="1"/>
      <protection locked="0"/>
    </xf>
    <xf numFmtId="0" fontId="16" fillId="0" borderId="0" xfId="0" applyFont="1" applyAlignment="1" applyProtection="1">
      <alignment horizontal="center" vertical="center"/>
      <protection locked="0"/>
    </xf>
    <xf numFmtId="0" fontId="0" fillId="34" borderId="0" xfId="0" applyFill="1" applyProtection="1">
      <protection locked="0"/>
    </xf>
    <xf numFmtId="0" fontId="23" fillId="0" borderId="24" xfId="0" applyFont="1" applyBorder="1" applyAlignment="1" applyProtection="1">
      <alignment horizontal="center" vertical="center"/>
      <protection locked="0"/>
    </xf>
    <xf numFmtId="0" fontId="24" fillId="0" borderId="22" xfId="0" applyFont="1" applyBorder="1" applyAlignment="1" applyProtection="1">
      <alignment vertical="center"/>
      <protection locked="0"/>
    </xf>
    <xf numFmtId="0" fontId="23" fillId="0" borderId="23" xfId="0" applyFont="1" applyBorder="1" applyAlignment="1" applyProtection="1">
      <alignment horizontal="left" indent="1"/>
      <protection locked="0"/>
    </xf>
    <xf numFmtId="0" fontId="23" fillId="0" borderId="21" xfId="0" applyFont="1" applyBorder="1" applyAlignment="1" applyProtection="1">
      <alignment horizontal="left" indent="1"/>
      <protection locked="0"/>
    </xf>
    <xf numFmtId="0" fontId="23" fillId="0" borderId="22" xfId="0" applyFont="1" applyBorder="1" applyAlignment="1" applyProtection="1">
      <alignment horizontal="left" indent="1"/>
      <protection locked="0"/>
    </xf>
    <xf numFmtId="0" fontId="24" fillId="0" borderId="21" xfId="0" applyFont="1" applyBorder="1" applyProtection="1">
      <protection locked="0"/>
    </xf>
    <xf numFmtId="0" fontId="23" fillId="0" borderId="21" xfId="0" applyFont="1" applyBorder="1" applyProtection="1">
      <protection locked="0"/>
    </xf>
    <xf numFmtId="0" fontId="25" fillId="0" borderId="0" xfId="0" applyFont="1" applyProtection="1">
      <protection locked="0"/>
    </xf>
    <xf numFmtId="3" fontId="6" fillId="2" borderId="21" xfId="6" applyNumberFormat="1" applyBorder="1" applyAlignment="1" applyProtection="1">
      <alignment horizontal="right"/>
      <protection locked="0"/>
    </xf>
    <xf numFmtId="3" fontId="8" fillId="4" borderId="21" xfId="8" applyNumberFormat="1" applyBorder="1" applyAlignment="1" applyProtection="1">
      <alignment horizontal="right"/>
      <protection locked="0"/>
    </xf>
    <xf numFmtId="3" fontId="7" fillId="3" borderId="21" xfId="7" applyNumberFormat="1" applyBorder="1" applyAlignment="1" applyProtection="1">
      <alignment horizontal="right"/>
      <protection locked="0"/>
    </xf>
    <xf numFmtId="0" fontId="0" fillId="8" borderId="0" xfId="15" applyFont="1" applyBorder="1"/>
    <xf numFmtId="0" fontId="7" fillId="3" borderId="8" xfId="7" applyBorder="1"/>
    <xf numFmtId="0" fontId="25" fillId="8" borderId="0" xfId="15" applyFont="1" applyBorder="1"/>
    <xf numFmtId="3" fontId="20" fillId="8" borderId="21" xfId="15" applyNumberFormat="1" applyFont="1" applyBorder="1" applyAlignment="1" applyProtection="1">
      <alignment horizontal="right"/>
      <protection locked="0"/>
    </xf>
    <xf numFmtId="3" fontId="7" fillId="3" borderId="8" xfId="7" applyNumberFormat="1" applyBorder="1" applyAlignment="1" applyProtection="1">
      <alignment horizontal="right"/>
      <protection locked="0"/>
    </xf>
    <xf numFmtId="3" fontId="25" fillId="8" borderId="21" xfId="15" applyNumberFormat="1" applyFont="1" applyBorder="1" applyAlignment="1" applyProtection="1">
      <alignment horizontal="right"/>
      <protection locked="0"/>
    </xf>
    <xf numFmtId="0" fontId="16" fillId="8" borderId="0" xfId="15" applyFont="1" applyBorder="1"/>
    <xf numFmtId="1" fontId="16" fillId="8" borderId="0" xfId="15" applyNumberFormat="1" applyFont="1" applyBorder="1"/>
    <xf numFmtId="1" fontId="7" fillId="3" borderId="8" xfId="7" applyNumberFormat="1" applyBorder="1"/>
    <xf numFmtId="1" fontId="25" fillId="8" borderId="0" xfId="15" applyNumberFormat="1" applyFont="1" applyBorder="1"/>
    <xf numFmtId="165" fontId="16" fillId="8" borderId="0" xfId="15" applyNumberFormat="1" applyFont="1" applyBorder="1"/>
    <xf numFmtId="165" fontId="7" fillId="3" borderId="8" xfId="7" applyNumberFormat="1" applyBorder="1"/>
    <xf numFmtId="165" fontId="25" fillId="8" borderId="0" xfId="15" applyNumberFormat="1" applyFont="1" applyBorder="1"/>
    <xf numFmtId="0" fontId="0" fillId="8" borderId="8" xfId="15" applyFont="1" applyBorder="1"/>
    <xf numFmtId="0" fontId="7" fillId="3" borderId="0" xfId="7" applyBorder="1"/>
    <xf numFmtId="0" fontId="25" fillId="8" borderId="8" xfId="15" applyFont="1" applyBorder="1"/>
    <xf numFmtId="0" fontId="6" fillId="2" borderId="0" xfId="6" applyBorder="1"/>
    <xf numFmtId="0" fontId="8" fillId="4" borderId="0" xfId="8" applyBorder="1"/>
    <xf numFmtId="3" fontId="20" fillId="8" borderId="8" xfId="15" applyNumberFormat="1" applyFont="1" applyBorder="1" applyAlignment="1" applyProtection="1">
      <alignment horizontal="right"/>
      <protection locked="0"/>
    </xf>
    <xf numFmtId="3" fontId="25" fillId="8" borderId="8" xfId="15" applyNumberFormat="1" applyFont="1" applyBorder="1" applyAlignment="1" applyProtection="1">
      <alignment horizontal="right"/>
      <protection locked="0"/>
    </xf>
    <xf numFmtId="0" fontId="16" fillId="8" borderId="8" xfId="15" applyFont="1" applyBorder="1"/>
    <xf numFmtId="1" fontId="16" fillId="8" borderId="8" xfId="15" applyNumberFormat="1" applyFont="1" applyBorder="1"/>
    <xf numFmtId="1" fontId="7" fillId="3" borderId="0" xfId="7" applyNumberFormat="1" applyBorder="1"/>
    <xf numFmtId="1" fontId="25" fillId="8" borderId="8" xfId="15" applyNumberFormat="1" applyFont="1" applyBorder="1"/>
    <xf numFmtId="1" fontId="6" fillId="2" borderId="0" xfId="6" applyNumberFormat="1" applyBorder="1"/>
    <xf numFmtId="1" fontId="8" fillId="4" borderId="0" xfId="8" applyNumberFormat="1" applyBorder="1"/>
    <xf numFmtId="165" fontId="16" fillId="8" borderId="8" xfId="15" applyNumberFormat="1" applyFont="1" applyBorder="1"/>
    <xf numFmtId="165" fontId="7" fillId="3" borderId="0" xfId="7" applyNumberFormat="1" applyBorder="1"/>
    <xf numFmtId="165" fontId="25" fillId="8" borderId="8" xfId="15" applyNumberFormat="1" applyFont="1" applyBorder="1"/>
    <xf numFmtId="165" fontId="6" fillId="2" borderId="0" xfId="6" applyNumberFormat="1" applyBorder="1"/>
    <xf numFmtId="165" fontId="8" fillId="4" borderId="0" xfId="8" applyNumberFormat="1" applyBorder="1"/>
    <xf numFmtId="3" fontId="25" fillId="8" borderId="0" xfId="15" applyNumberFormat="1" applyFont="1" applyBorder="1" applyAlignment="1" applyProtection="1">
      <alignment horizontal="right"/>
      <protection locked="0"/>
    </xf>
    <xf numFmtId="3" fontId="6" fillId="2" borderId="0" xfId="6" applyNumberFormat="1" applyBorder="1" applyAlignment="1" applyProtection="1">
      <alignment horizontal="right"/>
      <protection locked="0"/>
    </xf>
    <xf numFmtId="3" fontId="7" fillId="3" borderId="0" xfId="7" applyNumberFormat="1" applyBorder="1" applyAlignment="1" applyProtection="1">
      <alignment horizontal="right"/>
      <protection locked="0"/>
    </xf>
    <xf numFmtId="3" fontId="20" fillId="8" borderId="0" xfId="15" applyNumberFormat="1" applyFont="1" applyBorder="1" applyAlignment="1" applyProtection="1">
      <alignment horizontal="right"/>
      <protection locked="0"/>
    </xf>
    <xf numFmtId="3" fontId="8" fillId="4" borderId="0" xfId="8" applyNumberFormat="1" applyBorder="1" applyAlignment="1" applyProtection="1">
      <alignment horizontal="right"/>
      <protection locked="0"/>
    </xf>
    <xf numFmtId="0" fontId="21" fillId="0" borderId="23" xfId="0" applyFont="1" applyBorder="1" applyAlignment="1" applyProtection="1">
      <alignment horizontal="center" vertical="center" wrapText="1"/>
      <protection locked="0"/>
    </xf>
    <xf numFmtId="0" fontId="6" fillId="2" borderId="8" xfId="6" applyBorder="1"/>
    <xf numFmtId="3" fontId="6" fillId="2" borderId="8" xfId="6" applyNumberFormat="1" applyBorder="1" applyAlignment="1" applyProtection="1">
      <alignment horizontal="right"/>
      <protection locked="0"/>
    </xf>
    <xf numFmtId="165" fontId="6" fillId="2" borderId="8" xfId="6" applyNumberFormat="1" applyBorder="1"/>
    <xf numFmtId="0" fontId="0" fillId="0" borderId="0" xfId="0" applyAlignment="1">
      <alignment wrapText="1"/>
    </xf>
    <xf numFmtId="0" fontId="16" fillId="0" borderId="0" xfId="0" applyFont="1" applyAlignment="1">
      <alignment wrapText="1"/>
    </xf>
    <xf numFmtId="0" fontId="0" fillId="0" borderId="0" xfId="0" applyBorder="1"/>
    <xf numFmtId="0" fontId="16" fillId="0" borderId="25" xfId="0" applyFont="1"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1" fontId="0" fillId="0" borderId="0" xfId="0" applyNumberFormat="1"/>
    <xf numFmtId="3" fontId="20" fillId="8" borderId="8" xfId="15" applyNumberFormat="1" applyFont="1" applyAlignment="1" applyProtection="1">
      <alignment horizontal="right"/>
      <protection locked="0"/>
    </xf>
    <xf numFmtId="1" fontId="6" fillId="2" borderId="8" xfId="6" applyNumberFormat="1" applyBorder="1"/>
    <xf numFmtId="9" fontId="16" fillId="0" borderId="0" xfId="42" applyFont="1"/>
    <xf numFmtId="9" fontId="0" fillId="8" borderId="8" xfId="42" applyFont="1" applyFill="1" applyBorder="1"/>
    <xf numFmtId="0" fontId="8" fillId="4" borderId="8" xfId="8" applyBorder="1"/>
    <xf numFmtId="3" fontId="8" fillId="4" borderId="8" xfId="8" applyNumberFormat="1" applyBorder="1" applyAlignment="1" applyProtection="1">
      <alignment horizontal="right"/>
      <protection locked="0"/>
    </xf>
    <xf numFmtId="1" fontId="8" fillId="4" borderId="8" xfId="8" applyNumberFormat="1" applyBorder="1"/>
    <xf numFmtId="165" fontId="8" fillId="4" borderId="8" xfId="8" applyNumberFormat="1" applyBorder="1"/>
    <xf numFmtId="3" fontId="0" fillId="0" borderId="0" xfId="0" applyNumberFormat="1"/>
    <xf numFmtId="0" fontId="0" fillId="35" borderId="0" xfId="0" applyFill="1" applyAlignment="1">
      <alignment wrapText="1"/>
    </xf>
    <xf numFmtId="0" fontId="0" fillId="36" borderId="0" xfId="0" applyFill="1" applyAlignment="1">
      <alignment wrapText="1"/>
    </xf>
    <xf numFmtId="166" fontId="16" fillId="8" borderId="8" xfId="15" applyNumberFormat="1" applyFont="1" applyBorder="1"/>
    <xf numFmtId="166" fontId="6" fillId="2" borderId="0" xfId="6" applyNumberFormat="1" applyBorder="1"/>
    <xf numFmtId="0" fontId="0" fillId="0" borderId="0" xfId="0" applyNumberFormat="1"/>
    <xf numFmtId="0" fontId="6" fillId="2" borderId="0" xfId="6"/>
    <xf numFmtId="0" fontId="8" fillId="4" borderId="0" xfId="8"/>
    <xf numFmtId="0" fontId="1" fillId="18" borderId="0" xfId="27"/>
    <xf numFmtId="0" fontId="0" fillId="0" borderId="0" xfId="0" pivotButton="1"/>
    <xf numFmtId="0" fontId="0" fillId="0" borderId="0" xfId="0" applyAlignment="1">
      <alignment horizontal="left"/>
    </xf>
    <xf numFmtId="0" fontId="1" fillId="15" borderId="0" xfId="24" applyAlignment="1">
      <alignment horizontal="center" vertical="center"/>
    </xf>
    <xf numFmtId="0" fontId="1" fillId="11" borderId="0" xfId="20" applyNumberFormat="1"/>
    <xf numFmtId="0" fontId="1" fillId="18" borderId="0" xfId="27" applyAlignment="1">
      <alignment wrapText="1"/>
    </xf>
    <xf numFmtId="0" fontId="16" fillId="37" borderId="33" xfId="0" applyFont="1" applyFill="1" applyBorder="1" applyAlignment="1">
      <alignment wrapText="1"/>
    </xf>
    <xf numFmtId="0" fontId="0" fillId="0" borderId="0" xfId="0" pivotButton="1" applyAlignment="1">
      <alignment wrapText="1"/>
    </xf>
    <xf numFmtId="1" fontId="20" fillId="8" borderId="8" xfId="15" applyNumberFormat="1" applyFont="1" applyAlignment="1" applyProtection="1">
      <alignment horizontal="right"/>
      <protection locked="0"/>
    </xf>
    <xf numFmtId="167" fontId="0" fillId="0" borderId="0" xfId="0" applyNumberFormat="1"/>
    <xf numFmtId="9" fontId="1" fillId="15" borderId="0" xfId="42" applyFill="1"/>
    <xf numFmtId="9" fontId="1" fillId="18" borderId="0" xfId="27" applyNumberFormat="1"/>
    <xf numFmtId="0" fontId="28" fillId="18" borderId="0" xfId="27" applyFont="1" applyAlignment="1">
      <alignment horizontal="center" vertical="center"/>
    </xf>
    <xf numFmtId="0" fontId="28" fillId="18" borderId="0" xfId="27" applyFont="1" applyAlignment="1">
      <alignment horizontal="center"/>
    </xf>
    <xf numFmtId="0" fontId="18" fillId="33" borderId="17" xfId="0" applyFont="1" applyFill="1" applyBorder="1" applyAlignment="1" applyProtection="1">
      <protection locked="0"/>
    </xf>
    <xf numFmtId="0" fontId="18" fillId="33" borderId="16" xfId="0" applyFont="1" applyFill="1" applyBorder="1" applyAlignment="1" applyProtection="1">
      <protection locked="0"/>
    </xf>
    <xf numFmtId="0" fontId="18" fillId="33" borderId="16" xfId="0" applyFont="1" applyFill="1" applyBorder="1" applyAlignment="1"/>
    <xf numFmtId="0" fontId="18" fillId="33" borderId="15" xfId="0" applyFont="1" applyFill="1" applyBorder="1" applyAlignment="1"/>
    <xf numFmtId="0" fontId="18" fillId="33" borderId="14" xfId="0" applyFont="1" applyFill="1" applyBorder="1" applyAlignment="1" applyProtection="1">
      <alignment wrapText="1"/>
      <protection locked="0"/>
    </xf>
    <xf numFmtId="0" fontId="18" fillId="33" borderId="0" xfId="0" applyFont="1" applyFill="1" applyBorder="1" applyAlignment="1" applyProtection="1">
      <alignment wrapText="1"/>
      <protection locked="0"/>
    </xf>
    <xf numFmtId="0" fontId="18" fillId="33" borderId="0" xfId="0" applyFont="1" applyFill="1" applyAlignment="1"/>
    <xf numFmtId="0" fontId="18" fillId="33" borderId="13" xfId="0" applyFont="1" applyFill="1" applyBorder="1" applyAlignment="1"/>
    <xf numFmtId="0" fontId="18" fillId="33" borderId="12" xfId="0" applyFont="1" applyFill="1" applyBorder="1" applyAlignment="1" applyProtection="1">
      <protection locked="0"/>
    </xf>
    <xf numFmtId="0" fontId="18" fillId="33" borderId="11" xfId="0" applyFont="1" applyFill="1" applyBorder="1" applyAlignment="1" applyProtection="1">
      <protection locked="0"/>
    </xf>
    <xf numFmtId="0" fontId="18" fillId="33" borderId="11" xfId="0" applyFont="1" applyFill="1" applyBorder="1" applyAlignment="1"/>
    <xf numFmtId="0" fontId="18" fillId="33" borderId="10" xfId="0" applyFont="1" applyFill="1" applyBorder="1" applyAlignment="1"/>
    <xf numFmtId="0" fontId="22" fillId="34" borderId="0" xfId="0" applyFont="1" applyFill="1" applyAlignment="1" applyProtection="1">
      <alignment horizontal="center" vertical="center"/>
      <protection locked="0"/>
    </xf>
    <xf numFmtId="0" fontId="23" fillId="34" borderId="23" xfId="0" applyFont="1" applyFill="1" applyBorder="1" applyAlignment="1" applyProtection="1">
      <alignment horizontal="left" vertical="center" wrapText="1"/>
      <protection locked="0"/>
    </xf>
    <xf numFmtId="0" fontId="20" fillId="0" borderId="23" xfId="0" applyFont="1" applyBorder="1" applyAlignment="1" applyProtection="1">
      <alignment horizontal="left" vertical="center" wrapText="1"/>
      <protection locked="0"/>
    </xf>
    <xf numFmtId="0" fontId="21" fillId="0" borderId="24" xfId="0" applyFont="1" applyBorder="1" applyAlignment="1" applyProtection="1">
      <alignment horizontal="center" vertical="center"/>
      <protection locked="0"/>
    </xf>
    <xf numFmtId="0" fontId="20" fillId="0" borderId="22" xfId="0" applyFont="1" applyBorder="1" applyAlignment="1" applyProtection="1">
      <alignment vertical="center"/>
      <protection locked="0"/>
    </xf>
    <xf numFmtId="0" fontId="21" fillId="34" borderId="23" xfId="0" applyFont="1" applyFill="1" applyBorder="1" applyAlignment="1" applyProtection="1">
      <alignment horizontal="center" vertical="center" wrapText="1"/>
      <protection locked="0"/>
    </xf>
    <xf numFmtId="0" fontId="21" fillId="0" borderId="23" xfId="0" applyFont="1" applyBorder="1" applyAlignment="1" applyProtection="1">
      <alignment horizontal="center" vertical="center" wrapText="1"/>
      <protection locked="0"/>
    </xf>
    <xf numFmtId="164" fontId="21" fillId="34" borderId="23" xfId="0" applyNumberFormat="1" applyFont="1" applyFill="1" applyBorder="1" applyAlignment="1" applyProtection="1">
      <alignment horizontal="center" vertical="center" wrapText="1"/>
      <protection locked="0"/>
    </xf>
    <xf numFmtId="0" fontId="19" fillId="0" borderId="20" xfId="0" applyFont="1" applyBorder="1" applyAlignment="1" applyProtection="1">
      <alignment wrapText="1"/>
      <protection locked="0"/>
    </xf>
    <xf numFmtId="0" fontId="19" fillId="0" borderId="19" xfId="0" applyFont="1" applyBorder="1" applyAlignment="1" applyProtection="1">
      <alignment wrapText="1"/>
      <protection locked="0"/>
    </xf>
    <xf numFmtId="0" fontId="19" fillId="0" borderId="19" xfId="0" applyFont="1" applyBorder="1" applyAlignment="1">
      <alignment wrapText="1"/>
    </xf>
    <xf numFmtId="0" fontId="19" fillId="0" borderId="18" xfId="0" applyFont="1" applyBorder="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95">
    <dxf>
      <font>
        <sz val="10"/>
        <name val="MS sans serif"/>
        <scheme val="none"/>
      </font>
      <numFmt numFmtId="1" formatCode="0"/>
      <alignment horizontal="right" vertical="bottom" textRotation="0" wrapText="0" indent="0" justifyLastLine="0" shrinkToFit="0" readingOrder="0"/>
      <border outline="0">
        <left style="thin">
          <color rgb="FFB2B2B2"/>
        </lef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sz val="10"/>
        <name val="MS sans serif"/>
        <scheme val="none"/>
      </font>
      <numFmt numFmtId="1" formatCode="0"/>
      <alignment horizontal="right" vertical="bottom" textRotation="0" wrapText="0" indent="0" justifyLastLine="0" shrinkToFit="0" readingOrder="0"/>
      <border outline="0">
        <right style="thin">
          <color rgb="FFB2B2B2"/>
        </righ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border outline="0">
        <right style="thin">
          <color rgb="FFB2B2B2"/>
        </righ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border outline="0">
        <left style="thin">
          <color rgb="FFB2B2B2"/>
        </left>
      </border>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border outline="0">
        <right style="thin">
          <color rgb="FFB2B2B2"/>
        </righ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fill>
        <patternFill patternType="solid">
          <fgColor indexed="64"/>
          <bgColor rgb="FFFFFFCC"/>
        </patternFill>
      </fill>
      <alignment horizontal="right" vertical="bottom" textRotation="0" wrapText="0" indent="0" justifyLastLine="0" shrinkToFit="0" readingOrder="0"/>
      <border diagonalUp="0" diagonalDown="0" outline="0">
        <left style="thin">
          <color rgb="FFB2B2B2"/>
        </left>
        <right style="thin">
          <color rgb="FFB2B2B2"/>
        </right>
        <top style="thin">
          <color rgb="FFB2B2B2"/>
        </top>
        <bottom style="thin">
          <color rgb="FFB2B2B2"/>
        </bottom>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sz val="10"/>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sz val="10"/>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sz val="10"/>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border outline="0">
        <left style="thin">
          <color rgb="FFB2B2B2"/>
        </lef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border outline="0">
        <right style="thin">
          <color rgb="FFB2B2B2"/>
        </right>
      </border>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1"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border diagonalUp="0" diagonalDown="0">
        <left style="thin">
          <color auto="1"/>
        </left>
        <right style="thin">
          <color auto="1"/>
        </right>
        <top/>
        <bottom/>
        <vertical/>
        <horizontal/>
      </border>
      <protection locked="0" hidden="0"/>
    </dxf>
    <dxf>
      <alignment wrapText="1"/>
    </dxf>
    <dxf>
      <numFmt numFmtId="1" formatCode="0"/>
    </dxf>
    <dxf>
      <numFmt numFmtId="0" formatCode="General"/>
    </dxf>
    <dxf>
      <font>
        <b/>
        <i val="0"/>
        <strike val="0"/>
        <condense val="0"/>
        <extend val="0"/>
        <outline val="0"/>
        <shadow val="0"/>
        <u val="none"/>
        <vertAlign val="baseline"/>
        <sz val="11"/>
        <color theme="1"/>
        <name val="Calibri"/>
        <family val="2"/>
        <scheme val="minor"/>
      </font>
      <numFmt numFmtId="165" formatCode="0.0"/>
    </dxf>
    <dxf>
      <font>
        <b/>
        <i val="0"/>
        <strike val="0"/>
        <condense val="0"/>
        <extend val="0"/>
        <outline val="0"/>
        <shadow val="0"/>
        <u val="none"/>
        <vertAlign val="baseline"/>
        <sz val="11"/>
        <color theme="1"/>
        <name val="Calibri"/>
        <family val="2"/>
        <scheme val="minor"/>
      </font>
      <numFmt numFmtId="165" formatCode="0.0"/>
    </dxf>
    <dxf>
      <font>
        <b/>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3" formatCode="0%"/>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border diagonalUp="0" diagonalDown="0">
        <left style="thin">
          <color auto="1"/>
        </left>
        <right style="thin">
          <color auto="1"/>
        </right>
        <top/>
        <bottom/>
        <vertical/>
        <horizontal/>
      </border>
      <protection locked="0" hidden="0"/>
    </dxf>
    <dxf>
      <alignment wrapText="1"/>
    </dxf>
    <dxf>
      <numFmt numFmtId="1" formatCode="0"/>
    </dxf>
    <dxf>
      <numFmt numFmtId="0" formatCode="General"/>
    </dxf>
    <dxf>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165" formatCode="0.0"/>
    </dxf>
    <dxf>
      <font>
        <b/>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0" formatCode="General"/>
    </dxf>
    <dxf>
      <numFmt numFmtId="0" formatCode="General"/>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protection locked="0" hidden="0"/>
    </dxf>
    <dxf>
      <font>
        <b val="0"/>
        <i val="0"/>
        <strike val="0"/>
        <condense val="0"/>
        <extend val="0"/>
        <outline val="0"/>
        <shadow val="0"/>
        <u val="none"/>
        <vertAlign val="baseline"/>
        <sz val="10"/>
        <color theme="1"/>
        <name val="MS sans serif"/>
        <scheme val="none"/>
      </font>
      <numFmt numFmtId="3" formatCode="#,##0"/>
      <alignment horizontal="right" vertical="bottom" textRotation="0" wrapText="0" indent="0" justifyLastLine="0" shrinkToFit="0" readingOrder="0"/>
      <border diagonalUp="0" diagonalDown="0">
        <left style="thin">
          <color auto="1"/>
        </left>
        <right style="thin">
          <color auto="1"/>
        </right>
        <top/>
        <bottom/>
        <vertical/>
        <horizontal/>
      </border>
      <protection locked="0" hidden="0"/>
    </dxf>
    <dxf>
      <alignment wrapText="1"/>
    </dxf>
    <dxf>
      <numFmt numFmtId="0" formatCode="General"/>
    </dxf>
    <dxf>
      <numFmt numFmtId="0" formatCode="General"/>
    </dxf>
    <dxf>
      <numFmt numFmtId="0" formatCode="General"/>
    </dxf>
    <dxf>
      <alignment wrapText="1"/>
    </dxf>
    <dxf>
      <alignment wrapText="1"/>
    </dxf>
  </dxfs>
  <tableStyles count="0" defaultTableStyle="TableStyleMedium2" defaultPivotStyle="PivotStyleLight16"/>
  <colors>
    <mruColors>
      <color rgb="FFFFFF99"/>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9.xml"/><Relationship Id="rId18" Type="http://schemas.openxmlformats.org/officeDocument/2006/relationships/chartsheet" Target="chartsheets/sheet14.xml"/><Relationship Id="rId26" Type="http://schemas.openxmlformats.org/officeDocument/2006/relationships/worksheet" Target="worksheets/sheet5.xml"/><Relationship Id="rId3" Type="http://schemas.openxmlformats.org/officeDocument/2006/relationships/worksheet" Target="worksheets/sheet3.xml"/><Relationship Id="rId21" Type="http://schemas.openxmlformats.org/officeDocument/2006/relationships/chartsheet" Target="chartsheets/sheet17.xml"/><Relationship Id="rId34" Type="http://schemas.openxmlformats.org/officeDocument/2006/relationships/calcChain" Target="calcChain.xml"/><Relationship Id="rId7" Type="http://schemas.openxmlformats.org/officeDocument/2006/relationships/chartsheet" Target="chartsheets/sheet3.xml"/><Relationship Id="rId12" Type="http://schemas.openxmlformats.org/officeDocument/2006/relationships/chartsheet" Target="chartsheets/sheet8.xml"/><Relationship Id="rId17" Type="http://schemas.openxmlformats.org/officeDocument/2006/relationships/chartsheet" Target="chartsheets/sheet13.xml"/><Relationship Id="rId25" Type="http://schemas.openxmlformats.org/officeDocument/2006/relationships/chartsheet" Target="chartsheets/sheet21.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12.xml"/><Relationship Id="rId20" Type="http://schemas.openxmlformats.org/officeDocument/2006/relationships/chartsheet" Target="chartsheets/sheet16.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chartsheet" Target="chartsheets/sheet7.xml"/><Relationship Id="rId24" Type="http://schemas.openxmlformats.org/officeDocument/2006/relationships/chartsheet" Target="chartsheets/sheet20.xml"/><Relationship Id="rId32" Type="http://schemas.openxmlformats.org/officeDocument/2006/relationships/styles" Target="styles.xml"/><Relationship Id="rId5" Type="http://schemas.openxmlformats.org/officeDocument/2006/relationships/chartsheet" Target="chartsheets/sheet1.xml"/><Relationship Id="rId15" Type="http://schemas.openxmlformats.org/officeDocument/2006/relationships/chartsheet" Target="chartsheets/sheet11.xml"/><Relationship Id="rId23" Type="http://schemas.openxmlformats.org/officeDocument/2006/relationships/chartsheet" Target="chartsheets/sheet19.xml"/><Relationship Id="rId28" Type="http://schemas.openxmlformats.org/officeDocument/2006/relationships/pivotCacheDefinition" Target="pivotCache/pivotCacheDefinition1.xml"/><Relationship Id="rId36" Type="http://schemas.microsoft.com/office/2006/relationships/vbaProject" Target="vbaProject.bin"/><Relationship Id="rId10" Type="http://schemas.openxmlformats.org/officeDocument/2006/relationships/chartsheet" Target="chartsheets/sheet6.xml"/><Relationship Id="rId19" Type="http://schemas.openxmlformats.org/officeDocument/2006/relationships/chartsheet" Target="chartsheets/sheet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chartsheet" Target="chartsheets/sheet5.xml"/><Relationship Id="rId14" Type="http://schemas.openxmlformats.org/officeDocument/2006/relationships/chartsheet" Target="chartsheets/sheet10.xml"/><Relationship Id="rId22" Type="http://schemas.openxmlformats.org/officeDocument/2006/relationships/chartsheet" Target="chartsheets/sheet18.xml"/><Relationship Id="rId27" Type="http://schemas.openxmlformats.org/officeDocument/2006/relationships/worksheet" Target="worksheets/sheet6.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chartsheet" Target="chart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kern="1200" spc="0" baseline="0">
                <a:solidFill>
                  <a:srgbClr val="595959"/>
                </a:solidFill>
                <a:effectLst/>
              </a:rPr>
              <a:t>High Risk Scenario Quadrant</a:t>
            </a:r>
            <a:endParaRPr lang="en-US">
              <a:effectLst/>
            </a:endParaRPr>
          </a:p>
          <a:p>
            <a:pPr>
              <a:defRPr/>
            </a:pPr>
            <a:r>
              <a:rPr lang="en-US" sz="1050" b="0" i="0" kern="1200" spc="0" baseline="0">
                <a:solidFill>
                  <a:srgbClr val="595959"/>
                </a:solidFill>
                <a:effectLst/>
              </a:rPr>
              <a:t>Data updated 5/7/20 20:00 CDT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v>Deaths per 100K</c:v>
          </c:tx>
          <c:spPr>
            <a:noFill/>
            <a:ln>
              <a:solidFill>
                <a:srgbClr val="FF0000"/>
              </a:solidFill>
            </a:ln>
            <a:effectLst/>
          </c:spPr>
          <c:invertIfNegative val="0"/>
          <c:dLbls>
            <c:dLbl>
              <c:idx val="0"/>
              <c:tx>
                <c:rich>
                  <a:bodyPr/>
                  <a:lstStyle/>
                  <a:p>
                    <a:fld id="{A4702C2F-5B8A-410B-8367-A0891F5F1C72}" type="CELLRANGE">
                      <a:rPr lang="en-US"/>
                      <a:pPr/>
                      <a:t>[CELLRANGE]</a:t>
                    </a:fld>
                    <a:r>
                      <a:rPr lang="en-US" baseline="0"/>
                      <a:t>, </a:t>
                    </a:r>
                    <a:fld id="{1F216E98-FD24-4E6D-AABE-5EE0EFE948BF}"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752-4906-B8D3-79879BAC7E32}"/>
                </c:ext>
              </c:extLst>
            </c:dLbl>
            <c:dLbl>
              <c:idx val="1"/>
              <c:tx>
                <c:rich>
                  <a:bodyPr/>
                  <a:lstStyle/>
                  <a:p>
                    <a:fld id="{B7CA938E-E7C7-4AA8-958A-09F312E9CE21}" type="CELLRANGE">
                      <a:rPr lang="en-US"/>
                      <a:pPr/>
                      <a:t>[CELLRANGE]</a:t>
                    </a:fld>
                    <a:r>
                      <a:rPr lang="en-US" baseline="0"/>
                      <a:t>, </a:t>
                    </a:r>
                    <a:fld id="{48023892-589A-4A1B-8CDF-6BD93A8D1C4D}"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752-4906-B8D3-79879BAC7E32}"/>
                </c:ext>
              </c:extLst>
            </c:dLbl>
            <c:dLbl>
              <c:idx val="2"/>
              <c:tx>
                <c:rich>
                  <a:bodyPr/>
                  <a:lstStyle/>
                  <a:p>
                    <a:fld id="{693437AA-768D-482C-BA7F-B06CAB01C2D6}" type="CELLRANGE">
                      <a:rPr lang="en-US"/>
                      <a:pPr/>
                      <a:t>[CELLRANGE]</a:t>
                    </a:fld>
                    <a:r>
                      <a:rPr lang="en-US" baseline="0"/>
                      <a:t>, </a:t>
                    </a:r>
                    <a:fld id="{4593F7F1-7133-49B1-AB91-AC9726D73E85}"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752-4906-B8D3-79879BAC7E32}"/>
                </c:ext>
              </c:extLst>
            </c:dLbl>
            <c:dLbl>
              <c:idx val="3"/>
              <c:tx>
                <c:rich>
                  <a:bodyPr/>
                  <a:lstStyle/>
                  <a:p>
                    <a:fld id="{F4A346EB-01F5-407A-BBF2-806783A2C6ED}" type="CELLRANGE">
                      <a:rPr lang="en-US"/>
                      <a:pPr/>
                      <a:t>[CELLRANGE]</a:t>
                    </a:fld>
                    <a:r>
                      <a:rPr lang="en-US" baseline="0"/>
                      <a:t>, </a:t>
                    </a:r>
                    <a:fld id="{E8BC07C8-B579-4E1D-9A2F-498E2C90D1E2}"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752-4906-B8D3-79879BAC7E32}"/>
                </c:ext>
              </c:extLst>
            </c:dLbl>
            <c:dLbl>
              <c:idx val="4"/>
              <c:tx>
                <c:rich>
                  <a:bodyPr/>
                  <a:lstStyle/>
                  <a:p>
                    <a:fld id="{3EE4BC15-8DB0-4B30-906C-B6875D8F085E}" type="CELLRANGE">
                      <a:rPr lang="en-US"/>
                      <a:pPr/>
                      <a:t>[CELLRANGE]</a:t>
                    </a:fld>
                    <a:r>
                      <a:rPr lang="en-US" baseline="0"/>
                      <a:t>, </a:t>
                    </a:r>
                    <a:fld id="{A321AEBC-13C0-474B-8A0F-C4376A3070F1}"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752-4906-B8D3-79879BAC7E32}"/>
                </c:ext>
              </c:extLst>
            </c:dLbl>
            <c:dLbl>
              <c:idx val="5"/>
              <c:tx>
                <c:rich>
                  <a:bodyPr/>
                  <a:lstStyle/>
                  <a:p>
                    <a:fld id="{5A0F8E0E-697A-4D6F-8F34-1349B1C251AC}" type="CELLRANGE">
                      <a:rPr lang="en-US"/>
                      <a:pPr/>
                      <a:t>[CELLRANGE]</a:t>
                    </a:fld>
                    <a:r>
                      <a:rPr lang="en-US" baseline="0"/>
                      <a:t>, </a:t>
                    </a:r>
                    <a:fld id="{679DA842-15C9-4A67-8B7F-5ECBD05509EB}"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752-4906-B8D3-79879BAC7E32}"/>
                </c:ext>
              </c:extLst>
            </c:dLbl>
            <c:dLbl>
              <c:idx val="6"/>
              <c:layout>
                <c:manualLayout>
                  <c:x val="1.7582417582417582E-2"/>
                  <c:y val="4.2370740644359244E-2"/>
                </c:manualLayout>
              </c:layout>
              <c:tx>
                <c:rich>
                  <a:bodyPr/>
                  <a:lstStyle/>
                  <a:p>
                    <a:fld id="{4A141E7E-4EC1-4B12-AC2F-04C66065033A}" type="CELLRANGE">
                      <a:rPr lang="en-US" baseline="0"/>
                      <a:pPr/>
                      <a:t>[CELLRANGE]</a:t>
                    </a:fld>
                    <a:r>
                      <a:rPr lang="en-US" baseline="0"/>
                      <a:t>, </a:t>
                    </a:r>
                    <a:fld id="{16A282DA-463C-4D01-B31E-84BD27B66325}"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752-4906-B8D3-79879BAC7E32}"/>
                </c:ext>
              </c:extLst>
            </c:dLbl>
            <c:dLbl>
              <c:idx val="7"/>
              <c:tx>
                <c:rich>
                  <a:bodyPr/>
                  <a:lstStyle/>
                  <a:p>
                    <a:fld id="{D150A9D7-583B-4C4A-8FA7-87B10C0A9121}" type="CELLRANGE">
                      <a:rPr lang="en-US"/>
                      <a:pPr/>
                      <a:t>[CELLRANGE]</a:t>
                    </a:fld>
                    <a:r>
                      <a:rPr lang="en-US" baseline="0"/>
                      <a:t>, </a:t>
                    </a:r>
                    <a:fld id="{15778BA1-6944-47FB-8EA7-00035B11E8B0}"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752-4906-B8D3-79879BAC7E32}"/>
                </c:ext>
              </c:extLst>
            </c:dLbl>
            <c:dLbl>
              <c:idx val="8"/>
              <c:tx>
                <c:rich>
                  <a:bodyPr/>
                  <a:lstStyle/>
                  <a:p>
                    <a:fld id="{53232EE4-3672-4CB2-BFD9-FE17A3739637}" type="CELLRANGE">
                      <a:rPr lang="en-US"/>
                      <a:pPr/>
                      <a:t>[CELLRANGE]</a:t>
                    </a:fld>
                    <a:r>
                      <a:rPr lang="en-US" baseline="0"/>
                      <a:t>, </a:t>
                    </a:r>
                    <a:fld id="{17EFEB2C-5016-45DB-BC7B-783806D36386}"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752-4906-B8D3-79879BAC7E32}"/>
                </c:ext>
              </c:extLst>
            </c:dLbl>
            <c:dLbl>
              <c:idx val="9"/>
              <c:tx>
                <c:rich>
                  <a:bodyPr/>
                  <a:lstStyle/>
                  <a:p>
                    <a:fld id="{70A9C526-0FA7-436E-A6FA-6FFEF9E569D3}" type="CELLRANGE">
                      <a:rPr lang="en-US"/>
                      <a:pPr/>
                      <a:t>[CELLRANGE]</a:t>
                    </a:fld>
                    <a:r>
                      <a:rPr lang="en-US" baseline="0"/>
                      <a:t>, </a:t>
                    </a:r>
                    <a:fld id="{E72C74BF-5AEF-4E0B-8636-2184449436D4}"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752-4906-B8D3-79879BAC7E32}"/>
                </c:ext>
              </c:extLst>
            </c:dLbl>
            <c:dLbl>
              <c:idx val="10"/>
              <c:layout>
                <c:manualLayout>
                  <c:x val="1.7582417582417582E-2"/>
                  <c:y val="0.11500629603468968"/>
                </c:manualLayout>
              </c:layout>
              <c:tx>
                <c:rich>
                  <a:bodyPr/>
                  <a:lstStyle/>
                  <a:p>
                    <a:fld id="{5DD0BF55-D7F6-4A2A-B6FA-13A7B991789A}" type="CELLRANGE">
                      <a:rPr lang="en-US" baseline="0"/>
                      <a:pPr/>
                      <a:t>[CELLRANGE]</a:t>
                    </a:fld>
                    <a:r>
                      <a:rPr lang="en-US" baseline="0"/>
                      <a:t>, </a:t>
                    </a:r>
                    <a:fld id="{49EAA77F-ECCD-4A35-BBAA-C60E8EECF8EF}"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E752-4906-B8D3-79879BAC7E32}"/>
                </c:ext>
              </c:extLst>
            </c:dLbl>
            <c:dLbl>
              <c:idx val="11"/>
              <c:tx>
                <c:rich>
                  <a:bodyPr/>
                  <a:lstStyle/>
                  <a:p>
                    <a:fld id="{0B3EC34C-19BC-4B2A-A47C-60B54A37FAEE}" type="CELLRANGE">
                      <a:rPr lang="en-US"/>
                      <a:pPr/>
                      <a:t>[CELLRANGE]</a:t>
                    </a:fld>
                    <a:r>
                      <a:rPr lang="en-US" baseline="0"/>
                      <a:t>, </a:t>
                    </a:r>
                    <a:fld id="{A659DFDE-BE81-4CD5-B1B2-D5C94A101A0D}"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752-4906-B8D3-79879BAC7E32}"/>
                </c:ext>
              </c:extLst>
            </c:dLbl>
            <c:dLbl>
              <c:idx val="12"/>
              <c:tx>
                <c:rich>
                  <a:bodyPr/>
                  <a:lstStyle/>
                  <a:p>
                    <a:fld id="{9A559206-D42B-485D-AD26-D0B90236A25B}" type="CELLRANGE">
                      <a:rPr lang="en-US"/>
                      <a:pPr/>
                      <a:t>[CELLRANGE]</a:t>
                    </a:fld>
                    <a:r>
                      <a:rPr lang="en-US" baseline="0"/>
                      <a:t>, </a:t>
                    </a:r>
                    <a:fld id="{AA410A52-000B-4D20-8A97-485894068D6D}"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752-4906-B8D3-79879BAC7E32}"/>
                </c:ext>
              </c:extLst>
            </c:dLbl>
            <c:dLbl>
              <c:idx val="13"/>
              <c:tx>
                <c:rich>
                  <a:bodyPr/>
                  <a:lstStyle/>
                  <a:p>
                    <a:fld id="{9F608CCF-D9CC-47FB-983C-BF681C5FD060}" type="CELLRANGE">
                      <a:rPr lang="en-US"/>
                      <a:pPr/>
                      <a:t>[CELLRANGE]</a:t>
                    </a:fld>
                    <a:r>
                      <a:rPr lang="en-US" baseline="0"/>
                      <a:t>, </a:t>
                    </a:r>
                    <a:fld id="{6C942216-3FCA-496C-9279-88798942A79D}"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752-4906-B8D3-79879BAC7E32}"/>
                </c:ext>
              </c:extLst>
            </c:dLbl>
            <c:dLbl>
              <c:idx val="14"/>
              <c:layout>
                <c:manualLayout>
                  <c:x val="3.2967032967032926E-2"/>
                  <c:y val="3.3291296220568048E-2"/>
                </c:manualLayout>
              </c:layout>
              <c:tx>
                <c:rich>
                  <a:bodyPr/>
                  <a:lstStyle/>
                  <a:p>
                    <a:fld id="{8212EBC6-A827-4C38-9D1D-42795D151B03}" type="CELLRANGE">
                      <a:rPr lang="en-US" baseline="0"/>
                      <a:pPr/>
                      <a:t>[CELLRANGE]</a:t>
                    </a:fld>
                    <a:r>
                      <a:rPr lang="en-US" baseline="0"/>
                      <a:t>, </a:t>
                    </a:r>
                    <a:fld id="{9AE4CC1C-B5B4-4533-BAB4-7CB2CB6D2BF3}"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E752-4906-B8D3-79879BAC7E32}"/>
                </c:ext>
              </c:extLst>
            </c:dLbl>
            <c:dLbl>
              <c:idx val="15"/>
              <c:tx>
                <c:rich>
                  <a:bodyPr/>
                  <a:lstStyle/>
                  <a:p>
                    <a:fld id="{81E08556-811C-474E-94A0-DD6A293593BE}" type="CELLRANGE">
                      <a:rPr lang="en-US"/>
                      <a:pPr/>
                      <a:t>[CELLRANGE]</a:t>
                    </a:fld>
                    <a:r>
                      <a:rPr lang="en-US" baseline="0"/>
                      <a:t>, </a:t>
                    </a:r>
                    <a:fld id="{AD9578FF-7E00-4CD0-AB28-3CE6689CF42A}"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752-4906-B8D3-79879BAC7E32}"/>
                </c:ext>
              </c:extLst>
            </c:dLbl>
            <c:dLbl>
              <c:idx val="16"/>
              <c:layout>
                <c:manualLayout>
                  <c:x val="8.7912087912087912E-3"/>
                  <c:y val="-2.4211851796776745E-2"/>
                </c:manualLayout>
              </c:layout>
              <c:tx>
                <c:rich>
                  <a:bodyPr/>
                  <a:lstStyle/>
                  <a:p>
                    <a:fld id="{EEB8AE0B-9022-4CFD-80D7-E6DF9F76BBD6}" type="CELLRANGE">
                      <a:rPr lang="en-US" baseline="0"/>
                      <a:pPr/>
                      <a:t>[CELLRANGE]</a:t>
                    </a:fld>
                    <a:r>
                      <a:rPr lang="en-US" baseline="0"/>
                      <a:t>, </a:t>
                    </a:r>
                    <a:fld id="{0E17E156-74CE-4E8E-8EF2-B705CB225105}"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E752-4906-B8D3-79879BAC7E32}"/>
                </c:ext>
              </c:extLst>
            </c:dLbl>
            <c:dLbl>
              <c:idx val="17"/>
              <c:tx>
                <c:rich>
                  <a:bodyPr/>
                  <a:lstStyle/>
                  <a:p>
                    <a:fld id="{88328B94-5F20-4B91-9484-5A74EFDB7D4D}" type="CELLRANGE">
                      <a:rPr lang="en-US"/>
                      <a:pPr/>
                      <a:t>[CELLRANGE]</a:t>
                    </a:fld>
                    <a:r>
                      <a:rPr lang="en-US" baseline="0"/>
                      <a:t>, </a:t>
                    </a:r>
                    <a:fld id="{4B33A03B-7A46-45EC-816E-9964BA4BDAB5}"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752-4906-B8D3-79879BAC7E32}"/>
                </c:ext>
              </c:extLst>
            </c:dLbl>
            <c:dLbl>
              <c:idx val="18"/>
              <c:layout>
                <c:manualLayout>
                  <c:x val="0"/>
                  <c:y val="-6.3556110966539028E-2"/>
                </c:manualLayout>
              </c:layout>
              <c:tx>
                <c:rich>
                  <a:bodyPr/>
                  <a:lstStyle/>
                  <a:p>
                    <a:fld id="{0D3B1D5B-2D3E-4162-97BE-4F75320173C7}" type="CELLRANGE">
                      <a:rPr lang="en-US" baseline="0"/>
                      <a:pPr/>
                      <a:t>[CELLRANGE]</a:t>
                    </a:fld>
                    <a:r>
                      <a:rPr lang="en-US" baseline="0"/>
                      <a:t>, </a:t>
                    </a:r>
                    <a:fld id="{E3A71618-E736-4E71-A088-FD11A34AEC77}"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E752-4906-B8D3-79879BAC7E32}"/>
                </c:ext>
              </c:extLst>
            </c:dLbl>
            <c:dLbl>
              <c:idx val="19"/>
              <c:layout>
                <c:manualLayout>
                  <c:x val="-3.0769230769230771E-2"/>
                  <c:y val="-6.6582592441136124E-2"/>
                </c:manualLayout>
              </c:layout>
              <c:tx>
                <c:rich>
                  <a:bodyPr/>
                  <a:lstStyle/>
                  <a:p>
                    <a:fld id="{B1BC0590-2DDC-4995-96AE-E1CACAE98853}" type="CELLRANGE">
                      <a:rPr lang="en-US" baseline="0"/>
                      <a:pPr/>
                      <a:t>[CELLRANGE]</a:t>
                    </a:fld>
                    <a:r>
                      <a:rPr lang="en-US" baseline="0"/>
                      <a:t>, </a:t>
                    </a:r>
                    <a:fld id="{02B07638-DE38-4F6F-8D80-029B3E9104EC}"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E752-4906-B8D3-79879BAC7E32}"/>
                </c:ext>
              </c:extLst>
            </c:dLbl>
            <c:dLbl>
              <c:idx val="20"/>
              <c:layout>
                <c:manualLayout>
                  <c:x val="-9.8901098901098938E-2"/>
                  <c:y val="-7.8688518339524519E-2"/>
                </c:manualLayout>
              </c:layout>
              <c:tx>
                <c:rich>
                  <a:bodyPr/>
                  <a:lstStyle/>
                  <a:p>
                    <a:fld id="{F75ABFFD-2756-42AE-8738-CE6576A671A1}" type="CELLRANGE">
                      <a:rPr lang="en-US" baseline="0"/>
                      <a:pPr/>
                      <a:t>[CELLRANGE]</a:t>
                    </a:fld>
                    <a:r>
                      <a:rPr lang="en-US" baseline="0"/>
                      <a:t>, </a:t>
                    </a:r>
                    <a:fld id="{2C26E88D-52C5-4713-87A5-2E522745F3C3}"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E752-4906-B8D3-79879BAC7E32}"/>
                </c:ext>
              </c:extLst>
            </c:dLbl>
            <c:dLbl>
              <c:idx val="21"/>
              <c:tx>
                <c:rich>
                  <a:bodyPr/>
                  <a:lstStyle/>
                  <a:p>
                    <a:fld id="{EDC21F96-969B-479A-BC50-FD9368517198}" type="CELLRANGE">
                      <a:rPr lang="en-US"/>
                      <a:pPr/>
                      <a:t>[CELLRANGE]</a:t>
                    </a:fld>
                    <a:r>
                      <a:rPr lang="en-US" baseline="0"/>
                      <a:t>, </a:t>
                    </a:r>
                    <a:fld id="{7DBCD0FE-A537-4F0F-84BA-D025EA93CB71}"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752-4906-B8D3-79879BAC7E32}"/>
                </c:ext>
              </c:extLst>
            </c:dLbl>
            <c:dLbl>
              <c:idx val="22"/>
              <c:layout>
                <c:manualLayout>
                  <c:x val="-0.10769230769230771"/>
                  <c:y val="-3.6317777695165157E-2"/>
                </c:manualLayout>
              </c:layout>
              <c:tx>
                <c:rich>
                  <a:bodyPr/>
                  <a:lstStyle/>
                  <a:p>
                    <a:fld id="{90C7ABB9-2982-40DC-9A0B-D29453DC1B24}" type="CELLRANGE">
                      <a:rPr lang="en-US" baseline="0"/>
                      <a:pPr/>
                      <a:t>[CELLRANGE]</a:t>
                    </a:fld>
                    <a:r>
                      <a:rPr lang="en-US" baseline="0"/>
                      <a:t>, </a:t>
                    </a:r>
                    <a:fld id="{185CD6E0-DCB4-4422-8E70-E0283A68827E}"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E752-4906-B8D3-79879BAC7E32}"/>
                </c:ext>
              </c:extLst>
            </c:dLbl>
            <c:dLbl>
              <c:idx val="23"/>
              <c:layout>
                <c:manualLayout>
                  <c:x val="2.1978021978021938E-2"/>
                  <c:y val="5.145018506815064E-2"/>
                </c:manualLayout>
              </c:layout>
              <c:tx>
                <c:rich>
                  <a:bodyPr/>
                  <a:lstStyle/>
                  <a:p>
                    <a:fld id="{2A9B02E2-ABAD-4505-B7A7-B4943D5FB65B}" type="CELLRANGE">
                      <a:rPr lang="en-US" baseline="0"/>
                      <a:pPr/>
                      <a:t>[CELLRANGE]</a:t>
                    </a:fld>
                    <a:r>
                      <a:rPr lang="en-US" baseline="0"/>
                      <a:t>, </a:t>
                    </a:r>
                    <a:fld id="{E9EBDB7D-9161-47D7-8586-A284F80FB11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E752-4906-B8D3-79879BAC7E32}"/>
                </c:ext>
              </c:extLst>
            </c:dLbl>
            <c:dLbl>
              <c:idx val="24"/>
              <c:tx>
                <c:rich>
                  <a:bodyPr/>
                  <a:lstStyle/>
                  <a:p>
                    <a:fld id="{DCC0FAD2-8F8C-4392-A679-BAF0FF99B4DC}" type="CELLRANGE">
                      <a:rPr lang="en-US"/>
                      <a:pPr/>
                      <a:t>[CELLRANGE]</a:t>
                    </a:fld>
                    <a:r>
                      <a:rPr lang="en-US" baseline="0"/>
                      <a:t>, </a:t>
                    </a:r>
                    <a:fld id="{F9F0FE44-F801-404E-9A51-BAA1C4E23E81}"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752-4906-B8D3-79879BAC7E32}"/>
                </c:ext>
              </c:extLst>
            </c:dLbl>
            <c:dLbl>
              <c:idx val="25"/>
              <c:tx>
                <c:rich>
                  <a:bodyPr/>
                  <a:lstStyle/>
                  <a:p>
                    <a:fld id="{C4DE8173-ABBE-44FC-8E27-F7BFAAFA7494}" type="CELLRANGE">
                      <a:rPr lang="en-US"/>
                      <a:pPr/>
                      <a:t>[CELLRANGE]</a:t>
                    </a:fld>
                    <a:r>
                      <a:rPr lang="en-US" baseline="0"/>
                      <a:t>, </a:t>
                    </a:r>
                    <a:fld id="{C49F0EEC-8B5C-4D37-BDF2-E533426B63B8}"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752-4906-B8D3-79879BAC7E32}"/>
                </c:ext>
              </c:extLst>
            </c:dLbl>
            <c:dLbl>
              <c:idx val="26"/>
              <c:tx>
                <c:rich>
                  <a:bodyPr/>
                  <a:lstStyle/>
                  <a:p>
                    <a:fld id="{D068B588-184D-455F-B937-6EF11F5ACF50}" type="CELLRANGE">
                      <a:rPr lang="en-US"/>
                      <a:pPr/>
                      <a:t>[CELLRANGE]</a:t>
                    </a:fld>
                    <a:r>
                      <a:rPr lang="en-US" baseline="0"/>
                      <a:t>, </a:t>
                    </a:r>
                    <a:fld id="{61EB815B-7519-4A0B-A5E0-8A946B92BCE8}"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E752-4906-B8D3-79879BAC7E32}"/>
                </c:ext>
              </c:extLst>
            </c:dLbl>
            <c:dLbl>
              <c:idx val="27"/>
              <c:tx>
                <c:rich>
                  <a:bodyPr/>
                  <a:lstStyle/>
                  <a:p>
                    <a:fld id="{C55A05F1-E4EF-499A-9815-2B1BD03FC5DF}" type="CELLRANGE">
                      <a:rPr lang="en-US"/>
                      <a:pPr/>
                      <a:t>[CELLRANGE]</a:t>
                    </a:fld>
                    <a:r>
                      <a:rPr lang="en-US" baseline="0"/>
                      <a:t>, </a:t>
                    </a:r>
                    <a:fld id="{DDB90CBE-EA78-477C-910E-48E863D457E1}"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E752-4906-B8D3-79879BAC7E32}"/>
                </c:ext>
              </c:extLst>
            </c:dLbl>
            <c:dLbl>
              <c:idx val="28"/>
              <c:tx>
                <c:rich>
                  <a:bodyPr/>
                  <a:lstStyle/>
                  <a:p>
                    <a:fld id="{47D093B1-79E5-4D92-A777-46EED38E6C4D}" type="CELLRANGE">
                      <a:rPr lang="en-US"/>
                      <a:pPr/>
                      <a:t>[CELLRANGE]</a:t>
                    </a:fld>
                    <a:r>
                      <a:rPr lang="en-US" baseline="0"/>
                      <a:t>, </a:t>
                    </a:r>
                    <a:fld id="{B244E968-AE0A-47DE-B39D-93957251193C}"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E752-4906-B8D3-79879BAC7E32}"/>
                </c:ext>
              </c:extLst>
            </c:dLbl>
            <c:dLbl>
              <c:idx val="29"/>
              <c:layout>
                <c:manualLayout>
                  <c:x val="-1.9780219780219859E-2"/>
                  <c:y val="5.145018506815064E-2"/>
                </c:manualLayout>
              </c:layout>
              <c:tx>
                <c:rich>
                  <a:bodyPr/>
                  <a:lstStyle/>
                  <a:p>
                    <a:fld id="{F47F2B94-E6A8-47ED-A6D3-B0EAAF12D3AD}" type="CELLRANGE">
                      <a:rPr lang="en-US" baseline="0"/>
                      <a:pPr/>
                      <a:t>[CELLRANGE]</a:t>
                    </a:fld>
                    <a:r>
                      <a:rPr lang="en-US" baseline="0"/>
                      <a:t>, </a:t>
                    </a:r>
                    <a:fld id="{FBBF7417-AC4C-4EF8-8BCE-F783933E32C5}"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E752-4906-B8D3-79879BAC7E32}"/>
                </c:ext>
              </c:extLst>
            </c:dLbl>
            <c:dLbl>
              <c:idx val="30"/>
              <c:tx>
                <c:rich>
                  <a:bodyPr/>
                  <a:lstStyle/>
                  <a:p>
                    <a:fld id="{E7330F0D-2D0B-40DD-9235-57C8EF8805E9}" type="CELLRANGE">
                      <a:rPr lang="en-US"/>
                      <a:pPr/>
                      <a:t>[CELLRANGE]</a:t>
                    </a:fld>
                    <a:r>
                      <a:rPr lang="en-US" baseline="0"/>
                      <a:t>, </a:t>
                    </a:r>
                    <a:fld id="{6A6DBB6C-4BEA-4171-B3AB-B1516ADB01CD}"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E752-4906-B8D3-79879BAC7E32}"/>
                </c:ext>
              </c:extLst>
            </c:dLbl>
            <c:dLbl>
              <c:idx val="31"/>
              <c:layout>
                <c:manualLayout>
                  <c:x val="1.098901098901099E-2"/>
                  <c:y val="3.3291296220568062E-2"/>
                </c:manualLayout>
              </c:layout>
              <c:tx>
                <c:rich>
                  <a:bodyPr/>
                  <a:lstStyle/>
                  <a:p>
                    <a:fld id="{13C7FD76-2535-4B0E-844F-7AB35CB268B1}" type="CELLRANGE">
                      <a:rPr lang="en-US" baseline="0"/>
                      <a:pPr/>
                      <a:t>[CELLRANGE]</a:t>
                    </a:fld>
                    <a:r>
                      <a:rPr lang="en-US" baseline="0"/>
                      <a:t>, </a:t>
                    </a:r>
                    <a:fld id="{0D315DCA-DD3B-4E36-A661-063389560DB1}"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E752-4906-B8D3-79879BAC7E32}"/>
                </c:ext>
              </c:extLst>
            </c:dLbl>
            <c:dLbl>
              <c:idx val="32"/>
              <c:tx>
                <c:rich>
                  <a:bodyPr/>
                  <a:lstStyle/>
                  <a:p>
                    <a:fld id="{CD7C9EAA-68FE-42BD-9A59-D9B4EE56F49F}" type="CELLRANGE">
                      <a:rPr lang="en-US"/>
                      <a:pPr/>
                      <a:t>[CELLRANGE]</a:t>
                    </a:fld>
                    <a:r>
                      <a:rPr lang="en-US" baseline="0"/>
                      <a:t>, </a:t>
                    </a:r>
                    <a:fld id="{5EF8991B-79D6-4073-8B44-A1296B3DFDEA}"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E752-4906-B8D3-79879BAC7E32}"/>
                </c:ext>
              </c:extLst>
            </c:dLbl>
            <c:dLbl>
              <c:idx val="33"/>
              <c:tx>
                <c:rich>
                  <a:bodyPr/>
                  <a:lstStyle/>
                  <a:p>
                    <a:fld id="{947C42BA-2260-4601-9D85-8E53262ECB46}" type="CELLRANGE">
                      <a:rPr lang="en-US"/>
                      <a:pPr/>
                      <a:t>[CELLRANGE]</a:t>
                    </a:fld>
                    <a:r>
                      <a:rPr lang="en-US" baseline="0"/>
                      <a:t>, </a:t>
                    </a:r>
                    <a:fld id="{EF83F3AD-41E3-47DA-9775-D7200788D70B}"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E752-4906-B8D3-79879BAC7E32}"/>
                </c:ext>
              </c:extLst>
            </c:dLbl>
            <c:dLbl>
              <c:idx val="34"/>
              <c:layout>
                <c:manualLayout>
                  <c:x val="1.098901098901099E-2"/>
                  <c:y val="-3.0264814745970967E-2"/>
                </c:manualLayout>
              </c:layout>
              <c:tx>
                <c:rich>
                  <a:bodyPr/>
                  <a:lstStyle/>
                  <a:p>
                    <a:fld id="{564E851E-E6CB-43BE-A915-96931BB52CB2}" type="CELLRANGE">
                      <a:rPr lang="en-US" baseline="0"/>
                      <a:pPr/>
                      <a:t>[CELLRANGE]</a:t>
                    </a:fld>
                    <a:r>
                      <a:rPr lang="en-US" baseline="0"/>
                      <a:t>, </a:t>
                    </a:r>
                    <a:fld id="{F197B4F1-C5F9-40CD-BE10-B2710A24CF1E}"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E752-4906-B8D3-79879BAC7E32}"/>
                </c:ext>
              </c:extLst>
            </c:dLbl>
            <c:dLbl>
              <c:idx val="35"/>
              <c:layout>
                <c:manualLayout>
                  <c:x val="0"/>
                  <c:y val="3.0264814745970967E-2"/>
                </c:manualLayout>
              </c:layout>
              <c:tx>
                <c:rich>
                  <a:bodyPr/>
                  <a:lstStyle/>
                  <a:p>
                    <a:fld id="{C9F885EF-76A9-4604-9896-D736F1BC7DCC}" type="CELLRANGE">
                      <a:rPr lang="en-US" baseline="0"/>
                      <a:pPr/>
                      <a:t>[CELLRANGE]</a:t>
                    </a:fld>
                    <a:r>
                      <a:rPr lang="en-US" baseline="0"/>
                      <a:t>, </a:t>
                    </a:r>
                    <a:fld id="{6E8ED593-13D5-456F-A279-E50DA8ABDACF}"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E752-4906-B8D3-79879BAC7E32}"/>
                </c:ext>
              </c:extLst>
            </c:dLbl>
            <c:dLbl>
              <c:idx val="36"/>
              <c:tx>
                <c:rich>
                  <a:bodyPr/>
                  <a:lstStyle/>
                  <a:p>
                    <a:fld id="{93CFF230-5CEE-41E6-9CDE-6B3622EE4B7E}" type="CELLRANGE">
                      <a:rPr lang="en-US"/>
                      <a:pPr/>
                      <a:t>[CELLRANGE]</a:t>
                    </a:fld>
                    <a:r>
                      <a:rPr lang="en-US" baseline="0"/>
                      <a:t>, </a:t>
                    </a:r>
                    <a:fld id="{0DDF62C0-28C4-40EE-9923-E19B6F8C8690}"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E752-4906-B8D3-79879BAC7E32}"/>
                </c:ext>
              </c:extLst>
            </c:dLbl>
            <c:dLbl>
              <c:idx val="37"/>
              <c:tx>
                <c:rich>
                  <a:bodyPr/>
                  <a:lstStyle/>
                  <a:p>
                    <a:fld id="{26720981-791D-463F-9531-0B38D4C51459}" type="CELLRANGE">
                      <a:rPr lang="en-US"/>
                      <a:pPr/>
                      <a:t>[CELLRANGE]</a:t>
                    </a:fld>
                    <a:r>
                      <a:rPr lang="en-US" baseline="0"/>
                      <a:t>, </a:t>
                    </a:r>
                    <a:fld id="{FAF3C210-ADE4-493C-8DC1-3B8342A36FD7}"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E752-4906-B8D3-79879BAC7E32}"/>
                </c:ext>
              </c:extLst>
            </c:dLbl>
            <c:dLbl>
              <c:idx val="38"/>
              <c:layout>
                <c:manualLayout>
                  <c:x val="3.736263736263732E-2"/>
                  <c:y val="-6.0529629491941931E-3"/>
                </c:manualLayout>
              </c:layout>
              <c:tx>
                <c:rich>
                  <a:bodyPr/>
                  <a:lstStyle/>
                  <a:p>
                    <a:fld id="{23B2D104-1302-4B3F-B411-70316FCE8517}" type="CELLRANGE">
                      <a:rPr lang="en-US" baseline="0"/>
                      <a:pPr/>
                      <a:t>[CELLRANGE]</a:t>
                    </a:fld>
                    <a:r>
                      <a:rPr lang="en-US" baseline="0"/>
                      <a:t>, </a:t>
                    </a:r>
                    <a:fld id="{19F5F118-0097-4730-AF1E-2EB54F057BFE}"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E752-4906-B8D3-79879BAC7E32}"/>
                </c:ext>
              </c:extLst>
            </c:dLbl>
            <c:dLbl>
              <c:idx val="39"/>
              <c:layout>
                <c:manualLayout>
                  <c:x val="4.3956043956043956E-3"/>
                  <c:y val="2.7238333271373871E-2"/>
                </c:manualLayout>
              </c:layout>
              <c:tx>
                <c:rich>
                  <a:bodyPr/>
                  <a:lstStyle/>
                  <a:p>
                    <a:fld id="{0659F6E6-128A-46B7-BB17-7489A84AE599}" type="CELLRANGE">
                      <a:rPr lang="en-US" baseline="0"/>
                      <a:pPr/>
                      <a:t>[CELLRANGE]</a:t>
                    </a:fld>
                    <a:r>
                      <a:rPr lang="en-US" baseline="0"/>
                      <a:t>, </a:t>
                    </a:r>
                    <a:fld id="{F6E31EFC-EBB0-463B-ADF7-F5DE52131612}"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E752-4906-B8D3-79879BAC7E32}"/>
                </c:ext>
              </c:extLst>
            </c:dLbl>
            <c:dLbl>
              <c:idx val="40"/>
              <c:tx>
                <c:rich>
                  <a:bodyPr/>
                  <a:lstStyle/>
                  <a:p>
                    <a:fld id="{AB517D2C-3B5D-46E9-A87A-8098345824FE}" type="CELLRANGE">
                      <a:rPr lang="en-US"/>
                      <a:pPr/>
                      <a:t>[CELLRANGE]</a:t>
                    </a:fld>
                    <a:r>
                      <a:rPr lang="en-US" baseline="0"/>
                      <a:t>, </a:t>
                    </a:r>
                    <a:fld id="{797A6623-46D5-4948-9B40-31EC0B4D434E}"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E752-4906-B8D3-79879BAC7E32}"/>
                </c:ext>
              </c:extLst>
            </c:dLbl>
            <c:dLbl>
              <c:idx val="41"/>
              <c:tx>
                <c:rich>
                  <a:bodyPr/>
                  <a:lstStyle/>
                  <a:p>
                    <a:fld id="{0DF29949-FF11-4B8A-BFC5-A7FC3228E874}" type="CELLRANGE">
                      <a:rPr lang="en-US"/>
                      <a:pPr/>
                      <a:t>[CELLRANGE]</a:t>
                    </a:fld>
                    <a:r>
                      <a:rPr lang="en-US" baseline="0"/>
                      <a:t>, </a:t>
                    </a:r>
                    <a:fld id="{66ECCE39-D41A-42CA-81AD-F0F2DB657688}"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E752-4906-B8D3-79879BAC7E32}"/>
                </c:ext>
              </c:extLst>
            </c:dLbl>
            <c:dLbl>
              <c:idx val="42"/>
              <c:tx>
                <c:rich>
                  <a:bodyPr/>
                  <a:lstStyle/>
                  <a:p>
                    <a:fld id="{431073ED-843F-4E1B-94BF-DC3B2DCF9767}" type="CELLRANGE">
                      <a:rPr lang="en-US"/>
                      <a:pPr/>
                      <a:t>[CELLRANGE]</a:t>
                    </a:fld>
                    <a:r>
                      <a:rPr lang="en-US" baseline="0"/>
                      <a:t>, </a:t>
                    </a:r>
                    <a:fld id="{85507A29-7533-4F84-8570-740FDB476EE7}"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E752-4906-B8D3-79879BAC7E32}"/>
                </c:ext>
              </c:extLst>
            </c:dLbl>
            <c:dLbl>
              <c:idx val="43"/>
              <c:tx>
                <c:rich>
                  <a:bodyPr/>
                  <a:lstStyle/>
                  <a:p>
                    <a:fld id="{D01BC9AD-FC57-4443-A6FF-14C132A1C3CC}" type="CELLRANGE">
                      <a:rPr lang="en-US"/>
                      <a:pPr/>
                      <a:t>[CELLRANGE]</a:t>
                    </a:fld>
                    <a:r>
                      <a:rPr lang="en-US" baseline="0"/>
                      <a:t>, </a:t>
                    </a:r>
                    <a:fld id="{55D7AA07-E857-4994-A483-E7447948526B}"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E752-4906-B8D3-79879BAC7E32}"/>
                </c:ext>
              </c:extLst>
            </c:dLbl>
            <c:dLbl>
              <c:idx val="44"/>
              <c:tx>
                <c:rich>
                  <a:bodyPr/>
                  <a:lstStyle/>
                  <a:p>
                    <a:fld id="{86BD1C68-215B-4685-9F78-83F84B8E4CF3}" type="CELLRANGE">
                      <a:rPr lang="en-US"/>
                      <a:pPr/>
                      <a:t>[CELLRANGE]</a:t>
                    </a:fld>
                    <a:r>
                      <a:rPr lang="en-US" baseline="0"/>
                      <a:t>, </a:t>
                    </a:r>
                    <a:fld id="{35075374-8940-4FF8-9F71-CEAE54AB8B20}"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E752-4906-B8D3-79879BAC7E32}"/>
                </c:ext>
              </c:extLst>
            </c:dLbl>
            <c:dLbl>
              <c:idx val="45"/>
              <c:layout>
                <c:manualLayout>
                  <c:x val="-1.5384615384615425E-2"/>
                  <c:y val="3.3291296220568048E-2"/>
                </c:manualLayout>
              </c:layout>
              <c:tx>
                <c:rich>
                  <a:bodyPr/>
                  <a:lstStyle/>
                  <a:p>
                    <a:fld id="{238CBA49-F635-4E58-9E43-A8E47C46605C}" type="CELLRANGE">
                      <a:rPr lang="en-US" baseline="0"/>
                      <a:pPr/>
                      <a:t>[CELLRANGE]</a:t>
                    </a:fld>
                    <a:r>
                      <a:rPr lang="en-US" baseline="0"/>
                      <a:t>, </a:t>
                    </a:r>
                    <a:fld id="{46CAF71D-1724-4FB8-9981-CA7495A25FB3}"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E752-4906-B8D3-79879BAC7E32}"/>
                </c:ext>
              </c:extLst>
            </c:dLbl>
            <c:dLbl>
              <c:idx val="46"/>
              <c:tx>
                <c:rich>
                  <a:bodyPr/>
                  <a:lstStyle/>
                  <a:p>
                    <a:fld id="{D7C80D0E-843F-4A9E-AD02-5DAEB1DFCFDA}" type="CELLRANGE">
                      <a:rPr lang="en-US"/>
                      <a:pPr/>
                      <a:t>[CELLRANGE]</a:t>
                    </a:fld>
                    <a:r>
                      <a:rPr lang="en-US" baseline="0"/>
                      <a:t>, </a:t>
                    </a:r>
                    <a:fld id="{28C5EF9F-C0FA-48FB-8833-465F1A7FAFBC}"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E752-4906-B8D3-79879BAC7E32}"/>
                </c:ext>
              </c:extLst>
            </c:dLbl>
            <c:dLbl>
              <c:idx val="47"/>
              <c:tx>
                <c:rich>
                  <a:bodyPr/>
                  <a:lstStyle/>
                  <a:p>
                    <a:fld id="{D65C594C-7854-4FCF-80B5-2A7716EA60C6}" type="CELLRANGE">
                      <a:rPr lang="en-US"/>
                      <a:pPr/>
                      <a:t>[CELLRANGE]</a:t>
                    </a:fld>
                    <a:r>
                      <a:rPr lang="en-US" baseline="0"/>
                      <a:t>, </a:t>
                    </a:r>
                    <a:fld id="{57F2BB07-2D69-4249-A31D-0C9FE382FBF4}"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E752-4906-B8D3-79879BAC7E32}"/>
                </c:ext>
              </c:extLst>
            </c:dLbl>
            <c:dLbl>
              <c:idx val="48"/>
              <c:tx>
                <c:rich>
                  <a:bodyPr/>
                  <a:lstStyle/>
                  <a:p>
                    <a:fld id="{23C4A008-E3A0-467F-9D6E-2E92078C60E3}" type="CELLRANGE">
                      <a:rPr lang="en-US"/>
                      <a:pPr/>
                      <a:t>[CELLRANGE]</a:t>
                    </a:fld>
                    <a:r>
                      <a:rPr lang="en-US" baseline="0"/>
                      <a:t>, </a:t>
                    </a:r>
                    <a:fld id="{D29D4682-0D88-405E-B061-9B25E33EBC90}"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E752-4906-B8D3-79879BAC7E32}"/>
                </c:ext>
              </c:extLst>
            </c:dLbl>
            <c:dLbl>
              <c:idx val="49"/>
              <c:tx>
                <c:rich>
                  <a:bodyPr/>
                  <a:lstStyle/>
                  <a:p>
                    <a:fld id="{D3004EF7-9CE1-4C3C-9B4F-5361DB114705}" type="CELLRANGE">
                      <a:rPr lang="en-US"/>
                      <a:pPr/>
                      <a:t>[CELLRANGE]</a:t>
                    </a:fld>
                    <a:r>
                      <a:rPr lang="en-US" baseline="0"/>
                      <a:t>, </a:t>
                    </a:r>
                    <a:fld id="{6FD5CFE5-DD06-4BF2-A9FF-04EAA5C8B717}"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E752-4906-B8D3-79879BAC7E32}"/>
                </c:ext>
              </c:extLst>
            </c:dLbl>
            <c:dLbl>
              <c:idx val="50"/>
              <c:tx>
                <c:rich>
                  <a:bodyPr/>
                  <a:lstStyle/>
                  <a:p>
                    <a:fld id="{3018A56D-57A0-441A-B816-230B6169A138}" type="CELLRANGE">
                      <a:rPr lang="en-US"/>
                      <a:pPr/>
                      <a:t>[CELLRANGE]</a:t>
                    </a:fld>
                    <a:r>
                      <a:rPr lang="en-US" baseline="0"/>
                      <a:t>, </a:t>
                    </a:r>
                    <a:fld id="{912489BE-3674-457E-ACF4-BA5709C94324}" type="YVALUE">
                      <a:rPr lang="en-US" baseline="0"/>
                      <a:pPr/>
                      <a:t>[Y 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E752-4906-B8D3-79879BAC7E32}"/>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E752-4906-B8D3-79879BAC7E32}"/>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E752-4906-B8D3-79879BAC7E32}"/>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E752-4906-B8D3-79879BAC7E3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Model'!$M$16:$M$69</c:f>
              <c:numCache>
                <c:formatCode>General</c:formatCode>
                <c:ptCount val="54"/>
                <c:pt idx="0">
                  <c:v>858</c:v>
                </c:pt>
                <c:pt idx="1">
                  <c:v>11546</c:v>
                </c:pt>
                <c:pt idx="2">
                  <c:v>5150</c:v>
                </c:pt>
                <c:pt idx="3">
                  <c:v>15670</c:v>
                </c:pt>
                <c:pt idx="4">
                  <c:v>54351</c:v>
                </c:pt>
                <c:pt idx="5">
                  <c:v>3380</c:v>
                </c:pt>
                <c:pt idx="6">
                  <c:v>1079</c:v>
                </c:pt>
                <c:pt idx="7">
                  <c:v>455</c:v>
                </c:pt>
                <c:pt idx="8">
                  <c:v>649</c:v>
                </c:pt>
                <c:pt idx="9">
                  <c:v>59137</c:v>
                </c:pt>
                <c:pt idx="10">
                  <c:v>24592</c:v>
                </c:pt>
                <c:pt idx="11">
                  <c:v>559</c:v>
                </c:pt>
                <c:pt idx="12">
                  <c:v>3287</c:v>
                </c:pt>
                <c:pt idx="13">
                  <c:v>3167</c:v>
                </c:pt>
                <c:pt idx="14">
                  <c:v>10625</c:v>
                </c:pt>
                <c:pt idx="15">
                  <c:v>5526</c:v>
                </c:pt>
                <c:pt idx="16">
                  <c:v>2704</c:v>
                </c:pt>
                <c:pt idx="17">
                  <c:v>3907</c:v>
                </c:pt>
                <c:pt idx="18">
                  <c:v>10929</c:v>
                </c:pt>
                <c:pt idx="19">
                  <c:v>2731</c:v>
                </c:pt>
                <c:pt idx="20">
                  <c:v>6268</c:v>
                </c:pt>
                <c:pt idx="21">
                  <c:v>138</c:v>
                </c:pt>
                <c:pt idx="22">
                  <c:v>5201</c:v>
                </c:pt>
                <c:pt idx="23">
                  <c:v>4757</c:v>
                </c:pt>
                <c:pt idx="24">
                  <c:v>9837</c:v>
                </c:pt>
                <c:pt idx="25">
                  <c:v>8168</c:v>
                </c:pt>
                <c:pt idx="26">
                  <c:v>852</c:v>
                </c:pt>
                <c:pt idx="27">
                  <c:v>12194</c:v>
                </c:pt>
                <c:pt idx="28">
                  <c:v>799</c:v>
                </c:pt>
                <c:pt idx="29">
                  <c:v>2084</c:v>
                </c:pt>
                <c:pt idx="30">
                  <c:v>198</c:v>
                </c:pt>
                <c:pt idx="31">
                  <c:v>2802</c:v>
                </c:pt>
                <c:pt idx="32">
                  <c:v>1974</c:v>
                </c:pt>
                <c:pt idx="33">
                  <c:v>7368</c:v>
                </c:pt>
                <c:pt idx="34">
                  <c:v>4499</c:v>
                </c:pt>
                <c:pt idx="35">
                  <c:v>8786</c:v>
                </c:pt>
                <c:pt idx="36">
                  <c:v>5916</c:v>
                </c:pt>
                <c:pt idx="37">
                  <c:v>2278</c:v>
                </c:pt>
                <c:pt idx="38">
                  <c:v>5891</c:v>
                </c:pt>
                <c:pt idx="39">
                  <c:v>731</c:v>
                </c:pt>
                <c:pt idx="40">
                  <c:v>10534</c:v>
                </c:pt>
                <c:pt idx="41">
                  <c:v>576</c:v>
                </c:pt>
                <c:pt idx="42">
                  <c:v>14147</c:v>
                </c:pt>
                <c:pt idx="43">
                  <c:v>56091</c:v>
                </c:pt>
                <c:pt idx="44">
                  <c:v>3120</c:v>
                </c:pt>
                <c:pt idx="45">
                  <c:v>7034</c:v>
                </c:pt>
                <c:pt idx="46">
                  <c:v>25</c:v>
                </c:pt>
                <c:pt idx="47">
                  <c:v>5538</c:v>
                </c:pt>
                <c:pt idx="48">
                  <c:v>6120</c:v>
                </c:pt>
                <c:pt idx="49">
                  <c:v>919</c:v>
                </c:pt>
                <c:pt idx="50">
                  <c:v>328</c:v>
                </c:pt>
              </c:numCache>
            </c:numRef>
          </c:xVal>
          <c:yVal>
            <c:numRef>
              <c:f>'Stratified Scenario Model'!$G$16:$G$69</c:f>
              <c:numCache>
                <c:formatCode>#,##0</c:formatCode>
                <c:ptCount val="54"/>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Model'!$Q$16:$Q$69</c:f>
              <c:numCache>
                <c:formatCode>0%</c:formatCode>
                <c:ptCount val="54"/>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8-E752-4906-B8D3-79879BAC7E32}"/>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0"/>
        </c:scaling>
        <c:delete val="0"/>
        <c:axPos val="b"/>
        <c:majorGridlines>
          <c:spPr>
            <a:ln w="9525" cap="flat" cmpd="sng" algn="ctr">
              <a:no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in val="5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62801817080557243"/>
          <c:y val="0.89514480879786262"/>
          <c:w val="0.16758622479882324"/>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Lower Risk Scenario</a:t>
            </a:r>
            <a:r>
              <a:rPr lang="en-US" baseline="0"/>
              <a:t> Quadrant</a:t>
            </a:r>
          </a:p>
          <a:p>
            <a:pPr>
              <a:defRPr/>
            </a:pPr>
            <a:r>
              <a:rPr lang="en-US" sz="1050" baseline="0"/>
              <a:t>Data updated 5/7/20 20:00 CDT</a:t>
            </a:r>
            <a:endParaRPr lang="en-US" sz="1050"/>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930587522713507"/>
          <c:y val="0.11803277750928676"/>
          <c:w val="0.83554746041360217"/>
          <c:h val="0.7475814361822295"/>
        </c:manualLayout>
      </c:layout>
      <c:bubbleChart>
        <c:varyColors val="0"/>
        <c:ser>
          <c:idx val="0"/>
          <c:order val="0"/>
          <c:tx>
            <c:v>Deaths per 100K</c:v>
          </c:tx>
          <c:spPr>
            <a:noFill/>
            <a:ln>
              <a:solidFill>
                <a:srgbClr val="FF0000"/>
              </a:solidFill>
            </a:ln>
            <a:effectLst/>
          </c:spPr>
          <c:invertIfNegative val="0"/>
          <c:dLbls>
            <c:dLbl>
              <c:idx val="0"/>
              <c:tx>
                <c:rich>
                  <a:bodyPr/>
                  <a:lstStyle/>
                  <a:p>
                    <a:fld id="{DFC83EC4-A330-4304-BF50-5D03ECB07F24}" type="CELLRANGE">
                      <a:rPr lang="en-US"/>
                      <a:pPr/>
                      <a:t>[CELLRANGE]</a:t>
                    </a:fld>
                    <a:r>
                      <a:rPr lang="en-US" baseline="0"/>
                      <a:t>, </a:t>
                    </a:r>
                    <a:fld id="{045847CF-6A91-44E2-8143-A522FCD6C0C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AFC-4C95-B726-5E81561BD619}"/>
                </c:ext>
              </c:extLst>
            </c:dLbl>
            <c:dLbl>
              <c:idx val="1"/>
              <c:layout>
                <c:manualLayout>
                  <c:x val="1.3186813186813187E-2"/>
                  <c:y val="-3.0264814745971521E-3"/>
                </c:manualLayout>
              </c:layout>
              <c:tx>
                <c:rich>
                  <a:bodyPr/>
                  <a:lstStyle/>
                  <a:p>
                    <a:fld id="{18D563D7-9029-45F1-A297-2B79394F283B}" type="CELLRANGE">
                      <a:rPr lang="en-US" baseline="0"/>
                      <a:pPr/>
                      <a:t>[CELLRANGE]</a:t>
                    </a:fld>
                    <a:r>
                      <a:rPr lang="en-US" baseline="0"/>
                      <a:t>, </a:t>
                    </a:r>
                    <a:fld id="{836016C0-D605-41BA-B542-1843DE47C24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FAFC-4C95-B726-5E81561BD619}"/>
                </c:ext>
              </c:extLst>
            </c:dLbl>
            <c:dLbl>
              <c:idx val="2"/>
              <c:tx>
                <c:rich>
                  <a:bodyPr/>
                  <a:lstStyle/>
                  <a:p>
                    <a:fld id="{3C575399-45F6-4F9A-82AD-496EA98CD278}" type="CELLRANGE">
                      <a:rPr lang="en-US"/>
                      <a:pPr/>
                      <a:t>[CELLRANGE]</a:t>
                    </a:fld>
                    <a:r>
                      <a:rPr lang="en-US" baseline="0"/>
                      <a:t>, </a:t>
                    </a:r>
                    <a:fld id="{5CF53E94-49CD-4301-9FBD-43F5C977289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C-4C95-B726-5E81561BD619}"/>
                </c:ext>
              </c:extLst>
            </c:dLbl>
            <c:dLbl>
              <c:idx val="3"/>
              <c:tx>
                <c:rich>
                  <a:bodyPr/>
                  <a:lstStyle/>
                  <a:p>
                    <a:fld id="{2739CF0C-1D67-4ED4-9809-427AD43E96CD}" type="CELLRANGE">
                      <a:rPr lang="en-US"/>
                      <a:pPr/>
                      <a:t>[CELLRANGE]</a:t>
                    </a:fld>
                    <a:r>
                      <a:rPr lang="en-US" baseline="0"/>
                      <a:t>, </a:t>
                    </a:r>
                    <a:fld id="{4EE15589-8683-4A7E-8B5D-36C17B6232F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AFC-4C95-B726-5E81561BD619}"/>
                </c:ext>
              </c:extLst>
            </c:dLbl>
            <c:dLbl>
              <c:idx val="4"/>
              <c:layout>
                <c:manualLayout>
                  <c:x val="-5.0549450549450627E-2"/>
                  <c:y val="-7.8688518339524519E-2"/>
                </c:manualLayout>
              </c:layout>
              <c:tx>
                <c:rich>
                  <a:bodyPr/>
                  <a:lstStyle/>
                  <a:p>
                    <a:fld id="{F5FDEDD4-E6FE-406B-BED8-8FC44B633286}" type="CELLRANGE">
                      <a:rPr lang="en-US" baseline="0"/>
                      <a:pPr/>
                      <a:t>[CELLRANGE]</a:t>
                    </a:fld>
                    <a:r>
                      <a:rPr lang="en-US" baseline="0"/>
                      <a:t>, </a:t>
                    </a:r>
                    <a:fld id="{54008F13-88F3-4E74-B25A-8BF8C32F218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FAFC-4C95-B726-5E81561BD619}"/>
                </c:ext>
              </c:extLst>
            </c:dLbl>
            <c:dLbl>
              <c:idx val="5"/>
              <c:tx>
                <c:rich>
                  <a:bodyPr/>
                  <a:lstStyle/>
                  <a:p>
                    <a:fld id="{BB483C7F-14CB-4544-9365-7A98E5123376}" type="CELLRANGE">
                      <a:rPr lang="en-US"/>
                      <a:pPr/>
                      <a:t>[CELLRANGE]</a:t>
                    </a:fld>
                    <a:r>
                      <a:rPr lang="en-US" baseline="0"/>
                      <a:t>, </a:t>
                    </a:r>
                    <a:fld id="{30313CF6-69B9-4F06-B156-7543D0D1A0E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AFC-4C95-B726-5E81561BD619}"/>
                </c:ext>
              </c:extLst>
            </c:dLbl>
            <c:dLbl>
              <c:idx val="6"/>
              <c:layout>
                <c:manualLayout>
                  <c:x val="1.7582417582417582E-2"/>
                  <c:y val="4.2370740644359244E-2"/>
                </c:manualLayout>
              </c:layout>
              <c:tx>
                <c:rich>
                  <a:bodyPr/>
                  <a:lstStyle/>
                  <a:p>
                    <a:fld id="{848D7A59-B5D3-4E13-AE41-9101D59241E7}" type="CELLRANGE">
                      <a:rPr lang="en-US" baseline="0"/>
                      <a:pPr/>
                      <a:t>[CELLRANGE]</a:t>
                    </a:fld>
                    <a:r>
                      <a:rPr lang="en-US" baseline="0"/>
                      <a:t>, </a:t>
                    </a:r>
                    <a:fld id="{830C7C21-7784-4C16-9906-8BD05E4023D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FAFC-4C95-B726-5E81561BD619}"/>
                </c:ext>
              </c:extLst>
            </c:dLbl>
            <c:dLbl>
              <c:idx val="7"/>
              <c:tx>
                <c:rich>
                  <a:bodyPr/>
                  <a:lstStyle/>
                  <a:p>
                    <a:fld id="{42E5CDB1-CDB9-424D-A5E4-3CB4759CDF96}" type="CELLRANGE">
                      <a:rPr lang="en-US"/>
                      <a:pPr/>
                      <a:t>[CELLRANGE]</a:t>
                    </a:fld>
                    <a:r>
                      <a:rPr lang="en-US" baseline="0"/>
                      <a:t>, </a:t>
                    </a:r>
                    <a:fld id="{CBA72FAD-266F-48F1-BF15-5C54FB0DDC7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AFC-4C95-B726-5E81561BD619}"/>
                </c:ext>
              </c:extLst>
            </c:dLbl>
            <c:dLbl>
              <c:idx val="8"/>
              <c:tx>
                <c:rich>
                  <a:bodyPr/>
                  <a:lstStyle/>
                  <a:p>
                    <a:fld id="{E445DACE-D782-42F0-A062-968C0AB9AF10}" type="CELLRANGE">
                      <a:rPr lang="en-US"/>
                      <a:pPr/>
                      <a:t>[CELLRANGE]</a:t>
                    </a:fld>
                    <a:r>
                      <a:rPr lang="en-US" baseline="0"/>
                      <a:t>, </a:t>
                    </a:r>
                    <a:fld id="{28CA40DE-C6A4-4274-943A-DA249A981DB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FAFC-4C95-B726-5E81561BD619}"/>
                </c:ext>
              </c:extLst>
            </c:dLbl>
            <c:dLbl>
              <c:idx val="9"/>
              <c:layout>
                <c:manualLayout>
                  <c:x val="-6.5934065934065934E-3"/>
                  <c:y val="9.0794444237912823E-3"/>
                </c:manualLayout>
              </c:layout>
              <c:tx>
                <c:rich>
                  <a:bodyPr/>
                  <a:lstStyle/>
                  <a:p>
                    <a:fld id="{A6347C90-C3DC-4096-9596-D91E82F12913}" type="CELLRANGE">
                      <a:rPr lang="en-US" baseline="0"/>
                      <a:pPr/>
                      <a:t>[CELLRANGE]</a:t>
                    </a:fld>
                    <a:r>
                      <a:rPr lang="en-US" baseline="0"/>
                      <a:t>, </a:t>
                    </a:r>
                    <a:fld id="{8181FE40-4EE4-4EA8-8B7E-BB38DEB86A2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FAFC-4C95-B726-5E81561BD619}"/>
                </c:ext>
              </c:extLst>
            </c:dLbl>
            <c:dLbl>
              <c:idx val="10"/>
              <c:layout>
                <c:manualLayout>
                  <c:x val="1.7582417582417582E-2"/>
                  <c:y val="0.11500629603468968"/>
                </c:manualLayout>
              </c:layout>
              <c:tx>
                <c:rich>
                  <a:bodyPr/>
                  <a:lstStyle/>
                  <a:p>
                    <a:fld id="{E835569C-DDBF-4585-92E2-56E6758B9198}" type="CELLRANGE">
                      <a:rPr lang="en-US" baseline="0"/>
                      <a:pPr/>
                      <a:t>[CELLRANGE]</a:t>
                    </a:fld>
                    <a:r>
                      <a:rPr lang="en-US" baseline="0"/>
                      <a:t>, </a:t>
                    </a:r>
                    <a:fld id="{4DF66D64-88D0-43C9-A433-5ABF041260A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FAFC-4C95-B726-5E81561BD619}"/>
                </c:ext>
              </c:extLst>
            </c:dLbl>
            <c:dLbl>
              <c:idx val="11"/>
              <c:tx>
                <c:rich>
                  <a:bodyPr/>
                  <a:lstStyle/>
                  <a:p>
                    <a:fld id="{8D010487-728B-46B9-8612-FF1DA23783B8}" type="CELLRANGE">
                      <a:rPr lang="en-US"/>
                      <a:pPr/>
                      <a:t>[CELLRANGE]</a:t>
                    </a:fld>
                    <a:r>
                      <a:rPr lang="en-US" baseline="0"/>
                      <a:t>, </a:t>
                    </a:r>
                    <a:fld id="{3963743D-19CA-423A-ABF6-2E5DDDB799D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AFC-4C95-B726-5E81561BD619}"/>
                </c:ext>
              </c:extLst>
            </c:dLbl>
            <c:dLbl>
              <c:idx val="12"/>
              <c:tx>
                <c:rich>
                  <a:bodyPr/>
                  <a:lstStyle/>
                  <a:p>
                    <a:fld id="{CC709A8C-0019-4796-BAD3-9E51B0F661A7}" type="CELLRANGE">
                      <a:rPr lang="en-US"/>
                      <a:pPr/>
                      <a:t>[CELLRANGE]</a:t>
                    </a:fld>
                    <a:r>
                      <a:rPr lang="en-US" baseline="0"/>
                      <a:t>, </a:t>
                    </a:r>
                    <a:fld id="{4FFBD62E-224E-4E05-B06B-96E217782C2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AFC-4C95-B726-5E81561BD619}"/>
                </c:ext>
              </c:extLst>
            </c:dLbl>
            <c:dLbl>
              <c:idx val="13"/>
              <c:layout>
                <c:manualLayout>
                  <c:x val="-3.9560439560439718E-2"/>
                  <c:y val="7.5662036864927423E-2"/>
                </c:manualLayout>
              </c:layout>
              <c:tx>
                <c:rich>
                  <a:bodyPr/>
                  <a:lstStyle/>
                  <a:p>
                    <a:fld id="{4C837DD2-D096-42E4-A463-9086DD652900}" type="CELLRANGE">
                      <a:rPr lang="en-US" baseline="0"/>
                      <a:pPr/>
                      <a:t>[CELLRANGE]</a:t>
                    </a:fld>
                    <a:r>
                      <a:rPr lang="en-US" baseline="0"/>
                      <a:t>, </a:t>
                    </a:r>
                    <a:fld id="{23B6B6BA-98FC-45B8-8239-64E488DC1D5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FAFC-4C95-B726-5E81561BD619}"/>
                </c:ext>
              </c:extLst>
            </c:dLbl>
            <c:dLbl>
              <c:idx val="14"/>
              <c:layout>
                <c:manualLayout>
                  <c:x val="3.2967032967032926E-2"/>
                  <c:y val="3.3291296220568048E-2"/>
                </c:manualLayout>
              </c:layout>
              <c:tx>
                <c:rich>
                  <a:bodyPr/>
                  <a:lstStyle/>
                  <a:p>
                    <a:fld id="{D1812DC0-9B84-4F34-AF57-364D96580A51}" type="CELLRANGE">
                      <a:rPr lang="en-US" baseline="0"/>
                      <a:pPr/>
                      <a:t>[CELLRANGE]</a:t>
                    </a:fld>
                    <a:r>
                      <a:rPr lang="en-US" baseline="0"/>
                      <a:t>, </a:t>
                    </a:r>
                    <a:fld id="{14D657CF-874E-462D-8B16-273E72C42C7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FAFC-4C95-B726-5E81561BD619}"/>
                </c:ext>
              </c:extLst>
            </c:dLbl>
            <c:dLbl>
              <c:idx val="15"/>
              <c:tx>
                <c:rich>
                  <a:bodyPr/>
                  <a:lstStyle/>
                  <a:p>
                    <a:fld id="{A4027072-2DF9-433F-BEB4-D67530CFE44E}" type="CELLRANGE">
                      <a:rPr lang="en-US"/>
                      <a:pPr/>
                      <a:t>[CELLRANGE]</a:t>
                    </a:fld>
                    <a:r>
                      <a:rPr lang="en-US" baseline="0"/>
                      <a:t>, </a:t>
                    </a:r>
                    <a:fld id="{638411D1-5F43-4EE3-BFC8-212997A4FA3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AFC-4C95-B726-5E81561BD619}"/>
                </c:ext>
              </c:extLst>
            </c:dLbl>
            <c:dLbl>
              <c:idx val="16"/>
              <c:layout>
                <c:manualLayout>
                  <c:x val="8.7912087912087912E-3"/>
                  <c:y val="-2.4211851796776745E-2"/>
                </c:manualLayout>
              </c:layout>
              <c:tx>
                <c:rich>
                  <a:bodyPr/>
                  <a:lstStyle/>
                  <a:p>
                    <a:fld id="{67E1544F-D886-4CDA-BEF1-FB993B03287A}" type="CELLRANGE">
                      <a:rPr lang="en-US" baseline="0"/>
                      <a:pPr/>
                      <a:t>[CELLRANGE]</a:t>
                    </a:fld>
                    <a:r>
                      <a:rPr lang="en-US" baseline="0"/>
                      <a:t>, </a:t>
                    </a:r>
                    <a:fld id="{3F5396C0-A01E-43B1-B227-6A81B77DF3F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FAFC-4C95-B726-5E81561BD619}"/>
                </c:ext>
              </c:extLst>
            </c:dLbl>
            <c:dLbl>
              <c:idx val="17"/>
              <c:layout>
                <c:manualLayout>
                  <c:x val="-2.197802197802198E-2"/>
                  <c:y val="-2.4211851796776773E-2"/>
                </c:manualLayout>
              </c:layout>
              <c:tx>
                <c:rich>
                  <a:bodyPr/>
                  <a:lstStyle/>
                  <a:p>
                    <a:fld id="{30A0FF0C-43A6-4E4D-B7BF-A8F332606236}" type="CELLRANGE">
                      <a:rPr lang="en-US" baseline="0"/>
                      <a:pPr/>
                      <a:t>[CELLRANGE]</a:t>
                    </a:fld>
                    <a:r>
                      <a:rPr lang="en-US" baseline="0"/>
                      <a:t>, </a:t>
                    </a:r>
                    <a:fld id="{CD6FFC45-589A-4E9E-A5BF-C4E42AA320B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FAFC-4C95-B726-5E81561BD619}"/>
                </c:ext>
              </c:extLst>
            </c:dLbl>
            <c:dLbl>
              <c:idx val="18"/>
              <c:layout>
                <c:manualLayout>
                  <c:x val="0"/>
                  <c:y val="-6.3556110966539028E-2"/>
                </c:manualLayout>
              </c:layout>
              <c:tx>
                <c:rich>
                  <a:bodyPr/>
                  <a:lstStyle/>
                  <a:p>
                    <a:fld id="{A0AF7C49-5BF3-4337-BE92-F3E47A561AF7}" type="CELLRANGE">
                      <a:rPr lang="en-US" baseline="0"/>
                      <a:pPr/>
                      <a:t>[CELLRANGE]</a:t>
                    </a:fld>
                    <a:r>
                      <a:rPr lang="en-US" baseline="0"/>
                      <a:t>, </a:t>
                    </a:r>
                    <a:fld id="{13B5D362-1A02-4B9C-9F48-0271AD85CEF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FAFC-4C95-B726-5E81561BD619}"/>
                </c:ext>
              </c:extLst>
            </c:dLbl>
            <c:dLbl>
              <c:idx val="19"/>
              <c:layout>
                <c:manualLayout>
                  <c:x val="-3.0769230769230771E-2"/>
                  <c:y val="-6.6582592441136124E-2"/>
                </c:manualLayout>
              </c:layout>
              <c:tx>
                <c:rich>
                  <a:bodyPr/>
                  <a:lstStyle/>
                  <a:p>
                    <a:fld id="{C467C1F0-6B77-4440-896B-041B9EE60F12}" type="CELLRANGE">
                      <a:rPr lang="en-US" baseline="0"/>
                      <a:pPr/>
                      <a:t>[CELLRANGE]</a:t>
                    </a:fld>
                    <a:r>
                      <a:rPr lang="en-US" baseline="0"/>
                      <a:t>, </a:t>
                    </a:r>
                    <a:fld id="{4C81D741-134E-4DF7-A1AD-18A657FA0A0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FAFC-4C95-B726-5E81561BD619}"/>
                </c:ext>
              </c:extLst>
            </c:dLbl>
            <c:dLbl>
              <c:idx val="20"/>
              <c:layout>
                <c:manualLayout>
                  <c:x val="-9.8901098901098938E-2"/>
                  <c:y val="-7.8688518339524519E-2"/>
                </c:manualLayout>
              </c:layout>
              <c:tx>
                <c:rich>
                  <a:bodyPr/>
                  <a:lstStyle/>
                  <a:p>
                    <a:fld id="{8DBB3D89-818D-4ECA-8947-0F75F69B9A82}" type="CELLRANGE">
                      <a:rPr lang="en-US" baseline="0"/>
                      <a:pPr/>
                      <a:t>[CELLRANGE]</a:t>
                    </a:fld>
                    <a:r>
                      <a:rPr lang="en-US" baseline="0"/>
                      <a:t>, </a:t>
                    </a:r>
                    <a:fld id="{5409A6E0-3545-4C97-B7E6-0229F7DB9F1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FAFC-4C95-B726-5E81561BD619}"/>
                </c:ext>
              </c:extLst>
            </c:dLbl>
            <c:dLbl>
              <c:idx val="21"/>
              <c:tx>
                <c:rich>
                  <a:bodyPr/>
                  <a:lstStyle/>
                  <a:p>
                    <a:fld id="{2B9684EE-593B-458D-9D45-546D74BC86A9}" type="CELLRANGE">
                      <a:rPr lang="en-US"/>
                      <a:pPr/>
                      <a:t>[CELLRANGE]</a:t>
                    </a:fld>
                    <a:r>
                      <a:rPr lang="en-US" baseline="0"/>
                      <a:t>, </a:t>
                    </a:r>
                    <a:fld id="{A34B8306-CED0-410D-B05F-BB27F4872EF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FAFC-4C95-B726-5E81561BD619}"/>
                </c:ext>
              </c:extLst>
            </c:dLbl>
            <c:dLbl>
              <c:idx val="22"/>
              <c:layout>
                <c:manualLayout>
                  <c:x val="-0.10769230769230771"/>
                  <c:y val="-3.6317777695165157E-2"/>
                </c:manualLayout>
              </c:layout>
              <c:tx>
                <c:rich>
                  <a:bodyPr/>
                  <a:lstStyle/>
                  <a:p>
                    <a:fld id="{0F83E967-27E6-445B-9D92-0976E0737CE8}" type="CELLRANGE">
                      <a:rPr lang="en-US" baseline="0"/>
                      <a:pPr/>
                      <a:t>[CELLRANGE]</a:t>
                    </a:fld>
                    <a:r>
                      <a:rPr lang="en-US" baseline="0"/>
                      <a:t>, </a:t>
                    </a:r>
                    <a:fld id="{3A68A730-F98F-479F-8A91-B17919D89FD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FAFC-4C95-B726-5E81561BD619}"/>
                </c:ext>
              </c:extLst>
            </c:dLbl>
            <c:dLbl>
              <c:idx val="23"/>
              <c:layout>
                <c:manualLayout>
                  <c:x val="2.1978021978021938E-2"/>
                  <c:y val="5.145018506815064E-2"/>
                </c:manualLayout>
              </c:layout>
              <c:tx>
                <c:rich>
                  <a:bodyPr/>
                  <a:lstStyle/>
                  <a:p>
                    <a:fld id="{D98D9FD0-24C6-4291-8036-1FAB09C9FE18}" type="CELLRANGE">
                      <a:rPr lang="en-US" baseline="0"/>
                      <a:pPr/>
                      <a:t>[CELLRANGE]</a:t>
                    </a:fld>
                    <a:r>
                      <a:rPr lang="en-US" baseline="0"/>
                      <a:t>, </a:t>
                    </a:r>
                    <a:fld id="{1924EA5A-1462-4997-83FB-9324F80A6F5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FAFC-4C95-B726-5E81561BD619}"/>
                </c:ext>
              </c:extLst>
            </c:dLbl>
            <c:dLbl>
              <c:idx val="24"/>
              <c:layout>
                <c:manualLayout>
                  <c:x val="2.6373626373626374E-2"/>
                  <c:y val="-1.5132407372985483E-2"/>
                </c:manualLayout>
              </c:layout>
              <c:tx>
                <c:rich>
                  <a:bodyPr/>
                  <a:lstStyle/>
                  <a:p>
                    <a:fld id="{728AFCB7-8ACF-483A-BD35-148BA6F565DA}" type="CELLRANGE">
                      <a:rPr lang="en-US" baseline="0"/>
                      <a:pPr/>
                      <a:t>[CELLRANGE]</a:t>
                    </a:fld>
                    <a:r>
                      <a:rPr lang="en-US" baseline="0"/>
                      <a:t>, </a:t>
                    </a:r>
                    <a:fld id="{1DF4B4D7-0CC4-4C30-B567-96B344003DE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FAFC-4C95-B726-5E81561BD619}"/>
                </c:ext>
              </c:extLst>
            </c:dLbl>
            <c:dLbl>
              <c:idx val="25"/>
              <c:layout>
                <c:manualLayout>
                  <c:x val="2.1978021978021978E-3"/>
                  <c:y val="5.145018506815064E-2"/>
                </c:manualLayout>
              </c:layout>
              <c:tx>
                <c:rich>
                  <a:bodyPr/>
                  <a:lstStyle/>
                  <a:p>
                    <a:fld id="{57EED4B0-7979-4D6C-B36C-8AD8EF962365}" type="CELLRANGE">
                      <a:rPr lang="en-US" baseline="0"/>
                      <a:pPr/>
                      <a:t>[CELLRANGE]</a:t>
                    </a:fld>
                    <a:r>
                      <a:rPr lang="en-US" baseline="0"/>
                      <a:t>, </a:t>
                    </a:r>
                    <a:fld id="{A1385EB2-0A08-4251-90D8-69B233C7C7F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9-FAFC-4C95-B726-5E81561BD619}"/>
                </c:ext>
              </c:extLst>
            </c:dLbl>
            <c:dLbl>
              <c:idx val="26"/>
              <c:tx>
                <c:rich>
                  <a:bodyPr/>
                  <a:lstStyle/>
                  <a:p>
                    <a:fld id="{A6314CE8-D963-4E82-B639-3D3B27CF1307}" type="CELLRANGE">
                      <a:rPr lang="en-US"/>
                      <a:pPr/>
                      <a:t>[CELLRANGE]</a:t>
                    </a:fld>
                    <a:r>
                      <a:rPr lang="en-US" baseline="0"/>
                      <a:t>, </a:t>
                    </a:r>
                    <a:fld id="{D92935F3-178E-4F9A-ABBE-B65AC3F6A31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AFC-4C95-B726-5E81561BD619}"/>
                </c:ext>
              </c:extLst>
            </c:dLbl>
            <c:dLbl>
              <c:idx val="27"/>
              <c:layout>
                <c:manualLayout>
                  <c:x val="1.5384615384615385E-2"/>
                  <c:y val="9.0794444237912893E-3"/>
                </c:manualLayout>
              </c:layout>
              <c:tx>
                <c:rich>
                  <a:bodyPr/>
                  <a:lstStyle/>
                  <a:p>
                    <a:fld id="{7A554842-2CA5-45A6-B8C2-903034151C9B}" type="CELLRANGE">
                      <a:rPr lang="en-US" baseline="0"/>
                      <a:pPr/>
                      <a:t>[CELLRANGE]</a:t>
                    </a:fld>
                    <a:r>
                      <a:rPr lang="en-US" baseline="0"/>
                      <a:t>, </a:t>
                    </a:r>
                    <a:fld id="{E6F7403A-F460-4B3F-AAF3-D8C243A566F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FAFC-4C95-B726-5E81561BD619}"/>
                </c:ext>
              </c:extLst>
            </c:dLbl>
            <c:dLbl>
              <c:idx val="28"/>
              <c:layout>
                <c:manualLayout>
                  <c:x val="-7.4725274725274723E-2"/>
                  <c:y val="7.8688518339524408E-2"/>
                </c:manualLayout>
              </c:layout>
              <c:tx>
                <c:rich>
                  <a:bodyPr/>
                  <a:lstStyle/>
                  <a:p>
                    <a:fld id="{C5E82D82-03B0-4F38-8C55-38506098A09C}" type="CELLRANGE">
                      <a:rPr lang="en-US" baseline="0"/>
                      <a:pPr/>
                      <a:t>[CELLRANGE]</a:t>
                    </a:fld>
                    <a:r>
                      <a:rPr lang="en-US" baseline="0"/>
                      <a:t>, </a:t>
                    </a:r>
                    <a:fld id="{B10F8359-5232-4F5E-94E9-EEFA1A76411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C-FAFC-4C95-B726-5E81561BD619}"/>
                </c:ext>
              </c:extLst>
            </c:dLbl>
            <c:dLbl>
              <c:idx val="29"/>
              <c:layout>
                <c:manualLayout>
                  <c:x val="-1.9780219780219859E-2"/>
                  <c:y val="5.145018506815064E-2"/>
                </c:manualLayout>
              </c:layout>
              <c:tx>
                <c:rich>
                  <a:bodyPr/>
                  <a:lstStyle/>
                  <a:p>
                    <a:fld id="{F199E32B-6F4C-492F-93E1-E00BA86954AA}" type="CELLRANGE">
                      <a:rPr lang="en-US" baseline="0"/>
                      <a:pPr/>
                      <a:t>[CELLRANGE]</a:t>
                    </a:fld>
                    <a:r>
                      <a:rPr lang="en-US" baseline="0"/>
                      <a:t>, </a:t>
                    </a:r>
                    <a:fld id="{298261E9-7411-48E6-8518-B0F280A62D4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D-FAFC-4C95-B726-5E81561BD619}"/>
                </c:ext>
              </c:extLst>
            </c:dLbl>
            <c:dLbl>
              <c:idx val="30"/>
              <c:layout>
                <c:manualLayout>
                  <c:x val="1.5384615384615385E-2"/>
                  <c:y val="-6.3556110966539028E-2"/>
                </c:manualLayout>
              </c:layout>
              <c:tx>
                <c:rich>
                  <a:bodyPr/>
                  <a:lstStyle/>
                  <a:p>
                    <a:fld id="{E0BF1D9D-FE4C-4983-9C05-F12CF327883B}" type="CELLRANGE">
                      <a:rPr lang="en-US" baseline="0"/>
                      <a:pPr/>
                      <a:t>[CELLRANGE]</a:t>
                    </a:fld>
                    <a:r>
                      <a:rPr lang="en-US" baseline="0"/>
                      <a:t>, </a:t>
                    </a:r>
                    <a:fld id="{B9998BF5-FBAF-4A47-A20A-DDE91DD296D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FAFC-4C95-B726-5E81561BD619}"/>
                </c:ext>
              </c:extLst>
            </c:dLbl>
            <c:dLbl>
              <c:idx val="31"/>
              <c:layout>
                <c:manualLayout>
                  <c:x val="1.098901098901099E-2"/>
                  <c:y val="3.3291296220568062E-2"/>
                </c:manualLayout>
              </c:layout>
              <c:tx>
                <c:rich>
                  <a:bodyPr/>
                  <a:lstStyle/>
                  <a:p>
                    <a:fld id="{393862BE-A455-42BB-828A-55793090DA81}" type="CELLRANGE">
                      <a:rPr lang="en-US" baseline="0"/>
                      <a:pPr/>
                      <a:t>[CELLRANGE]</a:t>
                    </a:fld>
                    <a:r>
                      <a:rPr lang="en-US" baseline="0"/>
                      <a:t>, </a:t>
                    </a:r>
                    <a:fld id="{0B8EC8EF-6065-45B5-98F9-BAB399F8798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FAFC-4C95-B726-5E81561BD619}"/>
                </c:ext>
              </c:extLst>
            </c:dLbl>
            <c:dLbl>
              <c:idx val="32"/>
              <c:tx>
                <c:rich>
                  <a:bodyPr/>
                  <a:lstStyle/>
                  <a:p>
                    <a:fld id="{67A149E4-159E-4AF5-B27F-68B01A789C4A}" type="CELLRANGE">
                      <a:rPr lang="en-US"/>
                      <a:pPr/>
                      <a:t>[CELLRANGE]</a:t>
                    </a:fld>
                    <a:r>
                      <a:rPr lang="en-US" baseline="0"/>
                      <a:t>, </a:t>
                    </a:r>
                    <a:fld id="{D6CE1DBD-1C46-4C23-B306-0C3F33AC201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FAFC-4C95-B726-5E81561BD619}"/>
                </c:ext>
              </c:extLst>
            </c:dLbl>
            <c:dLbl>
              <c:idx val="33"/>
              <c:tx>
                <c:rich>
                  <a:bodyPr/>
                  <a:lstStyle/>
                  <a:p>
                    <a:fld id="{BE729962-C4AD-415D-82E1-A7E4672F792A}" type="CELLRANGE">
                      <a:rPr lang="en-US"/>
                      <a:pPr/>
                      <a:t>[CELLRANGE]</a:t>
                    </a:fld>
                    <a:r>
                      <a:rPr lang="en-US" baseline="0"/>
                      <a:t>, </a:t>
                    </a:r>
                    <a:fld id="{2904CD92-6D14-4042-8CDF-1F12E33ABED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FAFC-4C95-B726-5E81561BD619}"/>
                </c:ext>
              </c:extLst>
            </c:dLbl>
            <c:dLbl>
              <c:idx val="34"/>
              <c:layout>
                <c:manualLayout>
                  <c:x val="1.098901098901099E-2"/>
                  <c:y val="-3.0264814745970967E-2"/>
                </c:manualLayout>
              </c:layout>
              <c:tx>
                <c:rich>
                  <a:bodyPr/>
                  <a:lstStyle/>
                  <a:p>
                    <a:fld id="{CA1AE646-1E16-4CEE-8A4F-8F08A39CCEE9}" type="CELLRANGE">
                      <a:rPr lang="en-US" baseline="0"/>
                      <a:pPr/>
                      <a:t>[CELLRANGE]</a:t>
                    </a:fld>
                    <a:r>
                      <a:rPr lang="en-US" baseline="0"/>
                      <a:t>, </a:t>
                    </a:r>
                    <a:fld id="{3F32E0CD-9644-4C19-8183-1495080F834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FAFC-4C95-B726-5E81561BD619}"/>
                </c:ext>
              </c:extLst>
            </c:dLbl>
            <c:dLbl>
              <c:idx val="35"/>
              <c:layout>
                <c:manualLayout>
                  <c:x val="0"/>
                  <c:y val="3.0264814745970967E-2"/>
                </c:manualLayout>
              </c:layout>
              <c:tx>
                <c:rich>
                  <a:bodyPr/>
                  <a:lstStyle/>
                  <a:p>
                    <a:fld id="{F3168A74-411E-401A-9689-D68B9EFFB319}" type="CELLRANGE">
                      <a:rPr lang="en-US" baseline="0"/>
                      <a:pPr/>
                      <a:t>[CELLRANGE]</a:t>
                    </a:fld>
                    <a:r>
                      <a:rPr lang="en-US" baseline="0"/>
                      <a:t>, </a:t>
                    </a:r>
                    <a:fld id="{1E452881-48F5-45B7-AD78-0C0F90D72C8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FAFC-4C95-B726-5E81561BD619}"/>
                </c:ext>
              </c:extLst>
            </c:dLbl>
            <c:dLbl>
              <c:idx val="36"/>
              <c:tx>
                <c:rich>
                  <a:bodyPr/>
                  <a:lstStyle/>
                  <a:p>
                    <a:fld id="{D912D353-8212-4BB2-91AC-B17A1CF4AA09}" type="CELLRANGE">
                      <a:rPr lang="en-US"/>
                      <a:pPr/>
                      <a:t>[CELLRANGE]</a:t>
                    </a:fld>
                    <a:r>
                      <a:rPr lang="en-US" baseline="0"/>
                      <a:t>, </a:t>
                    </a:r>
                    <a:fld id="{27A88506-048B-4251-85D0-78D01E2E574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FAFC-4C95-B726-5E81561BD619}"/>
                </c:ext>
              </c:extLst>
            </c:dLbl>
            <c:dLbl>
              <c:idx val="37"/>
              <c:tx>
                <c:rich>
                  <a:bodyPr/>
                  <a:lstStyle/>
                  <a:p>
                    <a:fld id="{CA10E1EE-A53C-4490-9628-FE42F3EE399A}" type="CELLRANGE">
                      <a:rPr lang="en-US"/>
                      <a:pPr/>
                      <a:t>[CELLRANGE]</a:t>
                    </a:fld>
                    <a:r>
                      <a:rPr lang="en-US" baseline="0"/>
                      <a:t>, </a:t>
                    </a:r>
                    <a:fld id="{B81B5D4E-54CB-4AA2-96DE-4EA08105088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FAFC-4C95-B726-5E81561BD619}"/>
                </c:ext>
              </c:extLst>
            </c:dLbl>
            <c:dLbl>
              <c:idx val="38"/>
              <c:layout>
                <c:manualLayout>
                  <c:x val="3.736263736263732E-2"/>
                  <c:y val="-6.0529629491941931E-3"/>
                </c:manualLayout>
              </c:layout>
              <c:tx>
                <c:rich>
                  <a:bodyPr/>
                  <a:lstStyle/>
                  <a:p>
                    <a:fld id="{8286F4DD-6AC4-48C1-B4EE-ADB3C8921C4E}" type="CELLRANGE">
                      <a:rPr lang="en-US" baseline="0"/>
                      <a:pPr/>
                      <a:t>[CELLRANGE]</a:t>
                    </a:fld>
                    <a:r>
                      <a:rPr lang="en-US" baseline="0"/>
                      <a:t>, </a:t>
                    </a:r>
                    <a:fld id="{A5618C70-33FA-4513-B414-14A6B4E775C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FAFC-4C95-B726-5E81561BD619}"/>
                </c:ext>
              </c:extLst>
            </c:dLbl>
            <c:dLbl>
              <c:idx val="39"/>
              <c:layout>
                <c:manualLayout>
                  <c:x val="4.3956043956043956E-3"/>
                  <c:y val="2.7238333271373871E-2"/>
                </c:manualLayout>
              </c:layout>
              <c:tx>
                <c:rich>
                  <a:bodyPr/>
                  <a:lstStyle/>
                  <a:p>
                    <a:fld id="{303777DC-C70A-4A73-81FF-2414540E7A05}" type="CELLRANGE">
                      <a:rPr lang="en-US" baseline="0"/>
                      <a:pPr/>
                      <a:t>[CELLRANGE]</a:t>
                    </a:fld>
                    <a:r>
                      <a:rPr lang="en-US" baseline="0"/>
                      <a:t>, </a:t>
                    </a:r>
                    <a:fld id="{2AB3D29A-1271-40B5-A376-C928DC86276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FAFC-4C95-B726-5E81561BD619}"/>
                </c:ext>
              </c:extLst>
            </c:dLbl>
            <c:dLbl>
              <c:idx val="40"/>
              <c:layout>
                <c:manualLayout>
                  <c:x val="3.2967032967032968E-2"/>
                  <c:y val="0"/>
                </c:manualLayout>
              </c:layout>
              <c:tx>
                <c:rich>
                  <a:bodyPr/>
                  <a:lstStyle/>
                  <a:p>
                    <a:fld id="{9081CFBB-6A6E-4C7E-9B0E-8867D3EFE54D}" type="CELLRANGE">
                      <a:rPr lang="en-US" baseline="0"/>
                      <a:pPr/>
                      <a:t>[CELLRANGE]</a:t>
                    </a:fld>
                    <a:r>
                      <a:rPr lang="en-US" baseline="0"/>
                      <a:t>, </a:t>
                    </a:r>
                    <a:fld id="{7AA5A6DE-6F5B-4B3F-8187-258EA3075C0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8-FAFC-4C95-B726-5E81561BD619}"/>
                </c:ext>
              </c:extLst>
            </c:dLbl>
            <c:dLbl>
              <c:idx val="41"/>
              <c:tx>
                <c:rich>
                  <a:bodyPr/>
                  <a:lstStyle/>
                  <a:p>
                    <a:fld id="{35E1D95A-3745-4D39-A2E4-F1CB64E89B69}" type="CELLRANGE">
                      <a:rPr lang="en-US"/>
                      <a:pPr/>
                      <a:t>[CELLRANGE]</a:t>
                    </a:fld>
                    <a:r>
                      <a:rPr lang="en-US" baseline="0"/>
                      <a:t>, </a:t>
                    </a:r>
                    <a:fld id="{D18E4B3F-9280-4571-9E28-30372FECC2E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FAFC-4C95-B726-5E81561BD619}"/>
                </c:ext>
              </c:extLst>
            </c:dLbl>
            <c:dLbl>
              <c:idx val="42"/>
              <c:layout>
                <c:manualLayout>
                  <c:x val="-2.8571428571428571E-2"/>
                  <c:y val="-4.539722211895645E-2"/>
                </c:manualLayout>
              </c:layout>
              <c:tx>
                <c:rich>
                  <a:bodyPr/>
                  <a:lstStyle/>
                  <a:p>
                    <a:fld id="{87D9F60B-C289-4C30-A849-1C97AF390CDE}" type="CELLRANGE">
                      <a:rPr lang="en-US" baseline="0"/>
                      <a:pPr/>
                      <a:t>[CELLRANGE]</a:t>
                    </a:fld>
                    <a:r>
                      <a:rPr lang="en-US" baseline="0"/>
                      <a:t>, </a:t>
                    </a:r>
                    <a:fld id="{661B82FC-456D-4534-8139-0E308B90B6D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A-FAFC-4C95-B726-5E81561BD619}"/>
                </c:ext>
              </c:extLst>
            </c:dLbl>
            <c:dLbl>
              <c:idx val="43"/>
              <c:tx>
                <c:rich>
                  <a:bodyPr/>
                  <a:lstStyle/>
                  <a:p>
                    <a:fld id="{41A0B80A-61E1-4F0E-8370-1B149AEC0229}" type="CELLRANGE">
                      <a:rPr lang="en-US"/>
                      <a:pPr/>
                      <a:t>[CELLRANGE]</a:t>
                    </a:fld>
                    <a:r>
                      <a:rPr lang="en-US" baseline="0"/>
                      <a:t>, </a:t>
                    </a:r>
                    <a:fld id="{F07F9ED4-B2DA-4F01-90B1-DA263213B23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FAFC-4C95-B726-5E81561BD619}"/>
                </c:ext>
              </c:extLst>
            </c:dLbl>
            <c:dLbl>
              <c:idx val="44"/>
              <c:tx>
                <c:rich>
                  <a:bodyPr/>
                  <a:lstStyle/>
                  <a:p>
                    <a:fld id="{7E1B52D0-440C-468E-9833-48B703F87AFB}" type="CELLRANGE">
                      <a:rPr lang="en-US"/>
                      <a:pPr/>
                      <a:t>[CELLRANGE]</a:t>
                    </a:fld>
                    <a:r>
                      <a:rPr lang="en-US" baseline="0"/>
                      <a:t>, </a:t>
                    </a:r>
                    <a:fld id="{EEC92BF1-8AB2-4E1B-BDE5-0A0675E0247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FAFC-4C95-B726-5E81561BD619}"/>
                </c:ext>
              </c:extLst>
            </c:dLbl>
            <c:dLbl>
              <c:idx val="45"/>
              <c:layout>
                <c:manualLayout>
                  <c:x val="-1.5384615384615425E-2"/>
                  <c:y val="3.3291296220568048E-2"/>
                </c:manualLayout>
              </c:layout>
              <c:tx>
                <c:rich>
                  <a:bodyPr/>
                  <a:lstStyle/>
                  <a:p>
                    <a:fld id="{A050D8B7-2491-4D48-B954-66BEF2E9FC64}" type="CELLRANGE">
                      <a:rPr lang="en-US" baseline="0"/>
                      <a:pPr/>
                      <a:t>[CELLRANGE]</a:t>
                    </a:fld>
                    <a:r>
                      <a:rPr lang="en-US" baseline="0"/>
                      <a:t>, </a:t>
                    </a:r>
                    <a:fld id="{92EE109C-2CF6-4AC0-83D6-BFF47477510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D-FAFC-4C95-B726-5E81561BD619}"/>
                </c:ext>
              </c:extLst>
            </c:dLbl>
            <c:dLbl>
              <c:idx val="46"/>
              <c:tx>
                <c:rich>
                  <a:bodyPr/>
                  <a:lstStyle/>
                  <a:p>
                    <a:fld id="{A61769D5-3C79-40A6-89B6-20428D0232F2}" type="CELLRANGE">
                      <a:rPr lang="en-US"/>
                      <a:pPr/>
                      <a:t>[CELLRANGE]</a:t>
                    </a:fld>
                    <a:r>
                      <a:rPr lang="en-US" baseline="0"/>
                      <a:t>, </a:t>
                    </a:r>
                    <a:fld id="{4994497F-3ACB-4096-A283-E0606A0A225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FAFC-4C95-B726-5E81561BD619}"/>
                </c:ext>
              </c:extLst>
            </c:dLbl>
            <c:dLbl>
              <c:idx val="47"/>
              <c:layout>
                <c:manualLayout>
                  <c:x val="-8.3516483516483511E-2"/>
                  <c:y val="3.3291296220568048E-2"/>
                </c:manualLayout>
              </c:layout>
              <c:tx>
                <c:rich>
                  <a:bodyPr/>
                  <a:lstStyle/>
                  <a:p>
                    <a:fld id="{145F5D82-D58C-44B9-87E9-833B28A106C2}" type="CELLRANGE">
                      <a:rPr lang="en-US" baseline="0"/>
                      <a:pPr/>
                      <a:t>[CELLRANGE]</a:t>
                    </a:fld>
                    <a:r>
                      <a:rPr lang="en-US" baseline="0"/>
                      <a:t>, </a:t>
                    </a:r>
                    <a:fld id="{B7CFE6DD-A525-48D2-AD36-63C23B421E7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FAFC-4C95-B726-5E81561BD619}"/>
                </c:ext>
              </c:extLst>
            </c:dLbl>
            <c:dLbl>
              <c:idx val="48"/>
              <c:tx>
                <c:rich>
                  <a:bodyPr/>
                  <a:lstStyle/>
                  <a:p>
                    <a:fld id="{4871DDF3-2C4F-4301-8252-C57CB1196703}" type="CELLRANGE">
                      <a:rPr lang="en-US"/>
                      <a:pPr/>
                      <a:t>[CELLRANGE]</a:t>
                    </a:fld>
                    <a:r>
                      <a:rPr lang="en-US" baseline="0"/>
                      <a:t>, </a:t>
                    </a:r>
                    <a:fld id="{7D2DA9BC-188F-40A0-960C-44353F416CF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FAFC-4C95-B726-5E81561BD619}"/>
                </c:ext>
              </c:extLst>
            </c:dLbl>
            <c:dLbl>
              <c:idx val="49"/>
              <c:tx>
                <c:rich>
                  <a:bodyPr/>
                  <a:lstStyle/>
                  <a:p>
                    <a:fld id="{73C26A43-05B0-4B13-A1B7-4D5E4297988A}" type="CELLRANGE">
                      <a:rPr lang="en-US"/>
                      <a:pPr/>
                      <a:t>[CELLRANGE]</a:t>
                    </a:fld>
                    <a:r>
                      <a:rPr lang="en-US" baseline="0"/>
                      <a:t>, </a:t>
                    </a:r>
                    <a:fld id="{94157ED4-63DE-4A36-ACD6-E179FE5D4AF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FAFC-4C95-B726-5E81561BD619}"/>
                </c:ext>
              </c:extLst>
            </c:dLbl>
            <c:dLbl>
              <c:idx val="50"/>
              <c:layout>
                <c:manualLayout>
                  <c:x val="-9.4505494505494503E-2"/>
                  <c:y val="9.07944442379129E-2"/>
                </c:manualLayout>
              </c:layout>
              <c:tx>
                <c:rich>
                  <a:bodyPr/>
                  <a:lstStyle/>
                  <a:p>
                    <a:fld id="{FDE57323-B15B-488A-865D-9F70FA8CD0FF}" type="CELLRANGE">
                      <a:rPr lang="en-US" baseline="0"/>
                      <a:pPr/>
                      <a:t>[CELLRANGE]</a:t>
                    </a:fld>
                    <a:r>
                      <a:rPr lang="en-US" baseline="0"/>
                      <a:t>, </a:t>
                    </a:r>
                    <a:fld id="{8EC77A00-A6A0-408E-846C-429FCD5B4AC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2-FAFC-4C95-B726-5E81561BD619}"/>
                </c:ext>
              </c:extLst>
            </c:dLbl>
            <c:dLbl>
              <c:idx val="51"/>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33-FAFC-4C95-B726-5E81561BD619}"/>
                </c:ext>
              </c:extLst>
            </c:dLbl>
            <c:dLbl>
              <c:idx val="52"/>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34-FAFC-4C95-B726-5E81561BD619}"/>
                </c:ext>
              </c:extLst>
            </c:dLbl>
            <c:dLbl>
              <c:idx val="53"/>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35-FAFC-4C95-B726-5E81561BD61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Model'!$M$16:$M$69</c:f>
              <c:numCache>
                <c:formatCode>General</c:formatCode>
                <c:ptCount val="54"/>
                <c:pt idx="0">
                  <c:v>858</c:v>
                </c:pt>
                <c:pt idx="1">
                  <c:v>11546</c:v>
                </c:pt>
                <c:pt idx="2">
                  <c:v>5150</c:v>
                </c:pt>
                <c:pt idx="3">
                  <c:v>15670</c:v>
                </c:pt>
                <c:pt idx="4">
                  <c:v>54351</c:v>
                </c:pt>
                <c:pt idx="5">
                  <c:v>3380</c:v>
                </c:pt>
                <c:pt idx="6">
                  <c:v>1079</c:v>
                </c:pt>
                <c:pt idx="7">
                  <c:v>455</c:v>
                </c:pt>
                <c:pt idx="8">
                  <c:v>649</c:v>
                </c:pt>
                <c:pt idx="9">
                  <c:v>59137</c:v>
                </c:pt>
                <c:pt idx="10">
                  <c:v>24592</c:v>
                </c:pt>
                <c:pt idx="11">
                  <c:v>559</c:v>
                </c:pt>
                <c:pt idx="12">
                  <c:v>3287</c:v>
                </c:pt>
                <c:pt idx="13">
                  <c:v>3167</c:v>
                </c:pt>
                <c:pt idx="14">
                  <c:v>10625</c:v>
                </c:pt>
                <c:pt idx="15">
                  <c:v>5526</c:v>
                </c:pt>
                <c:pt idx="16">
                  <c:v>2704</c:v>
                </c:pt>
                <c:pt idx="17">
                  <c:v>3907</c:v>
                </c:pt>
                <c:pt idx="18">
                  <c:v>10929</c:v>
                </c:pt>
                <c:pt idx="19">
                  <c:v>2731</c:v>
                </c:pt>
                <c:pt idx="20">
                  <c:v>6268</c:v>
                </c:pt>
                <c:pt idx="21">
                  <c:v>138</c:v>
                </c:pt>
                <c:pt idx="22">
                  <c:v>5201</c:v>
                </c:pt>
                <c:pt idx="23">
                  <c:v>4757</c:v>
                </c:pt>
                <c:pt idx="24">
                  <c:v>9837</c:v>
                </c:pt>
                <c:pt idx="25">
                  <c:v>8168</c:v>
                </c:pt>
                <c:pt idx="26">
                  <c:v>852</c:v>
                </c:pt>
                <c:pt idx="27">
                  <c:v>12194</c:v>
                </c:pt>
                <c:pt idx="28">
                  <c:v>799</c:v>
                </c:pt>
                <c:pt idx="29">
                  <c:v>2084</c:v>
                </c:pt>
                <c:pt idx="30">
                  <c:v>198</c:v>
                </c:pt>
                <c:pt idx="31">
                  <c:v>2802</c:v>
                </c:pt>
                <c:pt idx="32">
                  <c:v>1974</c:v>
                </c:pt>
                <c:pt idx="33">
                  <c:v>7368</c:v>
                </c:pt>
                <c:pt idx="34">
                  <c:v>4499</c:v>
                </c:pt>
                <c:pt idx="35">
                  <c:v>8786</c:v>
                </c:pt>
                <c:pt idx="36">
                  <c:v>5916</c:v>
                </c:pt>
                <c:pt idx="37">
                  <c:v>2278</c:v>
                </c:pt>
                <c:pt idx="38">
                  <c:v>5891</c:v>
                </c:pt>
                <c:pt idx="39">
                  <c:v>731</c:v>
                </c:pt>
                <c:pt idx="40">
                  <c:v>10534</c:v>
                </c:pt>
                <c:pt idx="41">
                  <c:v>576</c:v>
                </c:pt>
                <c:pt idx="42">
                  <c:v>14147</c:v>
                </c:pt>
                <c:pt idx="43">
                  <c:v>56091</c:v>
                </c:pt>
                <c:pt idx="44">
                  <c:v>3120</c:v>
                </c:pt>
                <c:pt idx="45">
                  <c:v>7034</c:v>
                </c:pt>
                <c:pt idx="46">
                  <c:v>25</c:v>
                </c:pt>
                <c:pt idx="47">
                  <c:v>5538</c:v>
                </c:pt>
                <c:pt idx="48">
                  <c:v>6120</c:v>
                </c:pt>
                <c:pt idx="49">
                  <c:v>919</c:v>
                </c:pt>
                <c:pt idx="50">
                  <c:v>328</c:v>
                </c:pt>
              </c:numCache>
            </c:numRef>
          </c:xVal>
          <c:yVal>
            <c:numRef>
              <c:f>'Stratified Scenario Model'!$G$16:$G$69</c:f>
              <c:numCache>
                <c:formatCode>#,##0</c:formatCode>
                <c:ptCount val="54"/>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Model'!$Q$16:$Q$69</c:f>
              <c:numCache>
                <c:formatCode>0%</c:formatCode>
                <c:ptCount val="54"/>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8-FAFC-4C95-B726-5E81561BD619}"/>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ax val="5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in val="5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62801817080557243"/>
          <c:y val="0.89514480879786262"/>
          <c:w val="0.16758622479882324"/>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United States, Medium </a:t>
            </a:r>
            <a:r>
              <a:rPr lang="en-US" sz="1400" b="1" i="0" u="none" strike="noStrike" kern="1200" spc="0" baseline="0">
                <a:solidFill>
                  <a:sysClr val="windowText" lastClr="000000">
                    <a:lumMod val="65000"/>
                    <a:lumOff val="35000"/>
                  </a:sysClr>
                </a:solidFill>
                <a:latin typeface="+mn-lt"/>
                <a:ea typeface="+mn-ea"/>
                <a:cs typeface="+mn-cs"/>
              </a:rPr>
              <a:t>Risk</a:t>
            </a:r>
            <a:r>
              <a:rPr lang="en-US" sz="1400" b="1"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Weekly Death Rate by State per 100K Population</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8588449903"/>
          <c:y val="0.10489763779527557"/>
          <c:w val="0.83554746041360217"/>
          <c:h val="0.74455495470763233"/>
        </c:manualLayout>
      </c:layout>
      <c:bubbleChart>
        <c:varyColors val="0"/>
        <c:ser>
          <c:idx val="0"/>
          <c:order val="0"/>
          <c:tx>
            <c:strRef>
              <c:f>'Stratified Scenario Model'!$Y$15</c:f>
              <c:strCache>
                <c:ptCount val="1"/>
                <c:pt idx="0">
                  <c:v>Weekly Death Rate per 100K Population</c:v>
                </c:pt>
              </c:strCache>
            </c:strRef>
          </c:tx>
          <c:spPr>
            <a:noFill/>
            <a:ln>
              <a:solidFill>
                <a:srgbClr val="FF0000"/>
              </a:solidFill>
            </a:ln>
            <a:effectLst/>
          </c:spPr>
          <c:invertIfNegative val="0"/>
          <c:dLbls>
            <c:dLbl>
              <c:idx val="0"/>
              <c:layout>
                <c:manualLayout>
                  <c:x val="-7.4780058651026604E-2"/>
                  <c:y val="1.4141414141414142E-2"/>
                </c:manualLayout>
              </c:layout>
              <c:tx>
                <c:rich>
                  <a:bodyPr/>
                  <a:lstStyle/>
                  <a:p>
                    <a:fld id="{4B86E227-DDE2-4C70-A90B-96665D7B5314}" type="CELLRANGE">
                      <a:rPr lang="en-US" baseline="0"/>
                      <a:pPr/>
                      <a:t>[CELLRANGE]</a:t>
                    </a:fld>
                    <a:r>
                      <a:rPr lang="en-US" baseline="0"/>
                      <a:t>, </a:t>
                    </a:r>
                    <a:fld id="{F539F84D-0254-438F-BEAD-69DD23D8283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0B97-4B57-AC50-4823551D3DF3}"/>
                </c:ext>
              </c:extLst>
            </c:dLbl>
            <c:dLbl>
              <c:idx val="1"/>
              <c:layout>
                <c:manualLayout>
                  <c:x val="4.395604395604288E-3"/>
                  <c:y val="4.7414876435354442E-2"/>
                </c:manualLayout>
              </c:layout>
              <c:tx>
                <c:rich>
                  <a:bodyPr/>
                  <a:lstStyle/>
                  <a:p>
                    <a:fld id="{47BBB6C3-417B-446C-835F-63B16FA29894}" type="CELLRANGE">
                      <a:rPr lang="en-US" baseline="0"/>
                      <a:pPr/>
                      <a:t>[CELLRANGE]</a:t>
                    </a:fld>
                    <a:r>
                      <a:rPr lang="en-US" baseline="0"/>
                      <a:t>, </a:t>
                    </a:r>
                    <a:fld id="{71619D2E-2A7E-4EBD-867F-173AFF1F3BB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0B97-4B57-AC50-4823551D3DF3}"/>
                </c:ext>
              </c:extLst>
            </c:dLbl>
            <c:dLbl>
              <c:idx val="2"/>
              <c:layout>
                <c:manualLayout>
                  <c:x val="5.8608058608058608E-3"/>
                  <c:y val="3.2282469062369028E-2"/>
                </c:manualLayout>
              </c:layout>
              <c:tx>
                <c:rich>
                  <a:bodyPr/>
                  <a:lstStyle/>
                  <a:p>
                    <a:fld id="{55065C80-CB12-45FC-ADC0-B7DDD7F398CE}" type="CELLRANGE">
                      <a:rPr lang="en-US" baseline="0"/>
                      <a:pPr/>
                      <a:t>[CELLRANGE]</a:t>
                    </a:fld>
                    <a:r>
                      <a:rPr lang="en-US" baseline="0"/>
                      <a:t>, </a:t>
                    </a:r>
                    <a:fld id="{04FB8D8C-D9D7-42DB-897F-B31058FB3B7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0B97-4B57-AC50-4823551D3DF3}"/>
                </c:ext>
              </c:extLst>
            </c:dLbl>
            <c:dLbl>
              <c:idx val="3"/>
              <c:layout>
                <c:manualLayout>
                  <c:x val="-8.4981684981684985E-2"/>
                  <c:y val="-1.2105925898388386E-2"/>
                </c:manualLayout>
              </c:layout>
              <c:tx>
                <c:rich>
                  <a:bodyPr/>
                  <a:lstStyle/>
                  <a:p>
                    <a:fld id="{805F4AFC-B09E-4313-A96E-BC36B78BBD8E}" type="CELLRANGE">
                      <a:rPr lang="en-US" baseline="0"/>
                      <a:pPr/>
                      <a:t>[CELLRANGE]</a:t>
                    </a:fld>
                    <a:r>
                      <a:rPr lang="en-US" baseline="0"/>
                      <a:t>, </a:t>
                    </a:r>
                    <a:fld id="{014F2803-5CBB-480E-BB10-3301019655C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0B97-4B57-AC50-4823551D3DF3}"/>
                </c:ext>
              </c:extLst>
            </c:dLbl>
            <c:dLbl>
              <c:idx val="4"/>
              <c:layout>
                <c:manualLayout>
                  <c:x val="-1.0744686621274016E-16"/>
                  <c:y val="-3.2282469062369049E-2"/>
                </c:manualLayout>
              </c:layout>
              <c:tx>
                <c:rich>
                  <a:bodyPr/>
                  <a:lstStyle/>
                  <a:p>
                    <a:fld id="{9B1BB620-258A-4261-9836-EEBFC8D5E8A7}" type="CELLRANGE">
                      <a:rPr lang="en-US" baseline="0"/>
                      <a:pPr/>
                      <a:t>[CELLRANGE]</a:t>
                    </a:fld>
                    <a:r>
                      <a:rPr lang="en-US" baseline="0"/>
                      <a:t>, </a:t>
                    </a:r>
                    <a:fld id="{F87A9A7E-96FC-40E6-9ECE-F78FF62DD88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0B97-4B57-AC50-4823551D3DF3}"/>
                </c:ext>
              </c:extLst>
            </c:dLbl>
            <c:dLbl>
              <c:idx val="5"/>
              <c:layout>
                <c:manualLayout>
                  <c:x val="1.4652014652014544E-2"/>
                  <c:y val="-1.614123453118459E-2"/>
                </c:manualLayout>
              </c:layout>
              <c:tx>
                <c:rich>
                  <a:bodyPr/>
                  <a:lstStyle/>
                  <a:p>
                    <a:fld id="{9D6750A1-D300-4837-BD1E-3B3EA3D3F17C}" type="CELLRANGE">
                      <a:rPr lang="en-US" baseline="0"/>
                      <a:pPr/>
                      <a:t>[CELLRANGE]</a:t>
                    </a:fld>
                    <a:r>
                      <a:rPr lang="en-US" baseline="0"/>
                      <a:t>, </a:t>
                    </a:r>
                    <a:fld id="{BDD88094-A513-4C69-B8F2-EB36AEF6B2D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0B97-4B57-AC50-4823551D3DF3}"/>
                </c:ext>
              </c:extLst>
            </c:dLbl>
            <c:dLbl>
              <c:idx val="6"/>
              <c:layout>
                <c:manualLayout>
                  <c:x val="-8.359064354492346E-2"/>
                  <c:y val="-2.4295872106895804E-2"/>
                </c:manualLayout>
              </c:layout>
              <c:tx>
                <c:rich>
                  <a:bodyPr/>
                  <a:lstStyle/>
                  <a:p>
                    <a:fld id="{F597093E-D5CA-468E-8AE2-8280DF775400}" type="CELLRANGE">
                      <a:rPr lang="en-US" baseline="0"/>
                      <a:pPr/>
                      <a:t>[CELLRANGE]</a:t>
                    </a:fld>
                    <a:r>
                      <a:rPr lang="en-US" baseline="0"/>
                      <a:t>, </a:t>
                    </a:r>
                    <a:fld id="{86E3ED7D-8B76-4920-83CB-0CC70136F16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0B97-4B57-AC50-4823551D3DF3}"/>
                </c:ext>
              </c:extLst>
            </c:dLbl>
            <c:dLbl>
              <c:idx val="7"/>
              <c:tx>
                <c:rich>
                  <a:bodyPr/>
                  <a:lstStyle/>
                  <a:p>
                    <a:fld id="{53AEE16D-ADD0-4BA5-8948-FD0E82487B38}" type="CELLRANGE">
                      <a:rPr lang="en-US"/>
                      <a:pPr/>
                      <a:t>[CELLRANGE]</a:t>
                    </a:fld>
                    <a:r>
                      <a:rPr lang="en-US" baseline="0"/>
                      <a:t>, </a:t>
                    </a:r>
                    <a:fld id="{4A3ADDD9-5A82-4FB3-963A-AD9E773C1E3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B97-4B57-AC50-4823551D3DF3}"/>
                </c:ext>
              </c:extLst>
            </c:dLbl>
            <c:dLbl>
              <c:idx val="8"/>
              <c:layout>
                <c:manualLayout>
                  <c:x val="-9.2301244602489202E-2"/>
                  <c:y val="4.6497733237890644E-2"/>
                </c:manualLayout>
              </c:layout>
              <c:tx>
                <c:rich>
                  <a:bodyPr/>
                  <a:lstStyle/>
                  <a:p>
                    <a:fld id="{E1637A78-77A6-4353-A1F6-305E2C903FDD}" type="CELLRANGE">
                      <a:rPr lang="en-US" baseline="0"/>
                      <a:pPr/>
                      <a:t>[CELLRANGE]</a:t>
                    </a:fld>
                    <a:r>
                      <a:rPr lang="en-US" baseline="0"/>
                      <a:t>, </a:t>
                    </a:r>
                    <a:fld id="{EFE4533D-D967-4495-B608-17BFF7454DE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0B97-4B57-AC50-4823551D3DF3}"/>
                </c:ext>
              </c:extLst>
            </c:dLbl>
            <c:dLbl>
              <c:idx val="9"/>
              <c:layout>
                <c:manualLayout>
                  <c:x val="-9.1575091575091569E-2"/>
                  <c:y val="-5.3467839384548708E-2"/>
                </c:manualLayout>
              </c:layout>
              <c:tx>
                <c:rich>
                  <a:bodyPr/>
                  <a:lstStyle/>
                  <a:p>
                    <a:fld id="{C9120F69-F926-4DF6-AD73-29CCF6CDBF3B}" type="CELLRANGE">
                      <a:rPr lang="en-US" baseline="0"/>
                      <a:pPr/>
                      <a:t>[CELLRANGE]</a:t>
                    </a:fld>
                    <a:r>
                      <a:rPr lang="en-US" baseline="0"/>
                      <a:t>, </a:t>
                    </a:r>
                    <a:fld id="{F4F54755-33AF-43EB-9AA9-12DD1B133A0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0B97-4B57-AC50-4823551D3DF3}"/>
                </c:ext>
              </c:extLst>
            </c:dLbl>
            <c:dLbl>
              <c:idx val="10"/>
              <c:layout>
                <c:manualLayout>
                  <c:x val="-3.3699633699633698E-2"/>
                  <c:y val="-6.6582592441136165E-2"/>
                </c:manualLayout>
              </c:layout>
              <c:tx>
                <c:rich>
                  <a:bodyPr/>
                  <a:lstStyle/>
                  <a:p>
                    <a:fld id="{6ACA4ED5-32C8-49A8-8F9D-4622C3511522}" type="CELLRANGE">
                      <a:rPr lang="en-US" baseline="0"/>
                      <a:pPr/>
                      <a:t>[CELLRANGE]</a:t>
                    </a:fld>
                    <a:r>
                      <a:rPr lang="en-US" baseline="0"/>
                      <a:t>, </a:t>
                    </a:r>
                    <a:fld id="{6738EF38-1E28-4E4D-B920-F601C26B9B2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0B97-4B57-AC50-4823551D3DF3}"/>
                </c:ext>
              </c:extLst>
            </c:dLbl>
            <c:dLbl>
              <c:idx val="11"/>
              <c:layout>
                <c:manualLayout>
                  <c:x val="-4.3988269794721412E-3"/>
                  <c:y val="-2.6262626262626283E-2"/>
                </c:manualLayout>
              </c:layout>
              <c:tx>
                <c:rich>
                  <a:bodyPr/>
                  <a:lstStyle/>
                  <a:p>
                    <a:fld id="{E91D88F1-E7A4-4D1D-8829-5823FC42F201}" type="CELLRANGE">
                      <a:rPr lang="en-US" baseline="0"/>
                      <a:pPr/>
                      <a:t>[CELLRANGE]</a:t>
                    </a:fld>
                    <a:r>
                      <a:rPr lang="en-US" baseline="0"/>
                      <a:t>, </a:t>
                    </a:r>
                    <a:fld id="{7D738ECE-C770-49B2-84A6-E0AE08DC98F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0B97-4B57-AC50-4823551D3DF3}"/>
                </c:ext>
              </c:extLst>
            </c:dLbl>
            <c:dLbl>
              <c:idx val="12"/>
              <c:layout>
                <c:manualLayout>
                  <c:x val="-8.9377289377289379E-2"/>
                  <c:y val="-1.2105925898388386E-2"/>
                </c:manualLayout>
              </c:layout>
              <c:tx>
                <c:rich>
                  <a:bodyPr/>
                  <a:lstStyle/>
                  <a:p>
                    <a:fld id="{C27C4E39-A6DD-49F7-B12E-9BF3DDDC64D6}" type="CELLRANGE">
                      <a:rPr lang="en-US" baseline="0"/>
                      <a:pPr/>
                      <a:t>[CELLRANGE]</a:t>
                    </a:fld>
                    <a:r>
                      <a:rPr lang="en-US" baseline="0"/>
                      <a:t>, </a:t>
                    </a:r>
                    <a:fld id="{CB722FDA-3EF8-4061-90F0-E5F5352FF11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0B97-4B57-AC50-4823551D3DF3}"/>
                </c:ext>
              </c:extLst>
            </c:dLbl>
            <c:dLbl>
              <c:idx val="13"/>
              <c:layout>
                <c:manualLayout>
                  <c:x val="-3.9560439560439718E-2"/>
                  <c:y val="7.5662036864927423E-2"/>
                </c:manualLayout>
              </c:layout>
              <c:tx>
                <c:rich>
                  <a:bodyPr/>
                  <a:lstStyle/>
                  <a:p>
                    <a:fld id="{B127B757-EF0F-4BF4-87AB-67B483507C2A}" type="CELLRANGE">
                      <a:rPr lang="en-US" baseline="0"/>
                      <a:pPr/>
                      <a:t>[CELLRANGE]</a:t>
                    </a:fld>
                    <a:r>
                      <a:rPr lang="en-US" baseline="0"/>
                      <a:t>, </a:t>
                    </a:r>
                    <a:fld id="{E863758D-E52F-43FA-B06D-024E98678C9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0B97-4B57-AC50-4823551D3DF3}"/>
                </c:ext>
              </c:extLst>
            </c:dLbl>
            <c:dLbl>
              <c:idx val="14"/>
              <c:layout>
                <c:manualLayout>
                  <c:x val="-7.9936153508670865E-2"/>
                  <c:y val="-3.9410482780561598E-2"/>
                </c:manualLayout>
              </c:layout>
              <c:tx>
                <c:rich>
                  <a:bodyPr/>
                  <a:lstStyle/>
                  <a:p>
                    <a:fld id="{E17AE815-9181-4424-93F5-B0D46E14D9FE}" type="CELLRANGE">
                      <a:rPr lang="en-US" baseline="0"/>
                      <a:pPr/>
                      <a:t>[CELLRANGE]</a:t>
                    </a:fld>
                    <a:r>
                      <a:rPr lang="en-US" baseline="0"/>
                      <a:t>, </a:t>
                    </a:r>
                    <a:fld id="{C46FDE87-D02E-4B52-A829-9F7137C2898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0B97-4B57-AC50-4823551D3DF3}"/>
                </c:ext>
              </c:extLst>
            </c:dLbl>
            <c:dLbl>
              <c:idx val="15"/>
              <c:layout>
                <c:manualLayout>
                  <c:x val="-1.4652014652015728E-3"/>
                  <c:y val="1.2105925898388313E-2"/>
                </c:manualLayout>
              </c:layout>
              <c:tx>
                <c:rich>
                  <a:bodyPr/>
                  <a:lstStyle/>
                  <a:p>
                    <a:fld id="{2A4FE8C5-3313-4D6A-A807-4968815DFC95}" type="CELLRANGE">
                      <a:rPr lang="en-US" baseline="0"/>
                      <a:pPr/>
                      <a:t>[CELLRANGE]</a:t>
                    </a:fld>
                    <a:r>
                      <a:rPr lang="en-US" baseline="0"/>
                      <a:t>, </a:t>
                    </a:r>
                    <a:fld id="{4035002E-AB83-45E3-AFA5-BEB6F36064B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0B97-4B57-AC50-4823551D3DF3}"/>
                </c:ext>
              </c:extLst>
            </c:dLbl>
            <c:dLbl>
              <c:idx val="16"/>
              <c:layout>
                <c:manualLayout>
                  <c:x val="-8.0586080586080688E-2"/>
                  <c:y val="-4.4388394960757416E-2"/>
                </c:manualLayout>
              </c:layout>
              <c:tx>
                <c:rich>
                  <a:bodyPr/>
                  <a:lstStyle/>
                  <a:p>
                    <a:fld id="{DD62E8FE-87AB-4FDA-98C9-75F6BFD341B7}" type="CELLRANGE">
                      <a:rPr lang="en-US" baseline="0"/>
                      <a:pPr/>
                      <a:t>[CELLRANGE]</a:t>
                    </a:fld>
                    <a:r>
                      <a:rPr lang="en-US" baseline="0"/>
                      <a:t>, </a:t>
                    </a:r>
                    <a:fld id="{28B81E22-85AC-4D8A-824E-3F1340D8100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0B97-4B57-AC50-4823551D3DF3}"/>
                </c:ext>
              </c:extLst>
            </c:dLbl>
            <c:dLbl>
              <c:idx val="17"/>
              <c:layout>
                <c:manualLayout>
                  <c:x val="-9.5222019534948271E-2"/>
                  <c:y val="6.6699753439910914E-2"/>
                </c:manualLayout>
              </c:layout>
              <c:tx>
                <c:rich>
                  <a:bodyPr/>
                  <a:lstStyle/>
                  <a:p>
                    <a:fld id="{1DB93E58-8370-4230-8780-A9E1952A8682}" type="CELLRANGE">
                      <a:rPr lang="en-US" baseline="0"/>
                      <a:pPr/>
                      <a:t>[CELLRANGE]</a:t>
                    </a:fld>
                    <a:r>
                      <a:rPr lang="en-US" baseline="0"/>
                      <a:t>, </a:t>
                    </a:r>
                    <a:fld id="{CAF7BD3E-E8BD-4E4B-8768-E7B5BE13961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0B97-4B57-AC50-4823551D3DF3}"/>
                </c:ext>
              </c:extLst>
            </c:dLbl>
            <c:dLbl>
              <c:idx val="18"/>
              <c:layout>
                <c:manualLayout>
                  <c:x val="0"/>
                  <c:y val="-6.3556110966539028E-2"/>
                </c:manualLayout>
              </c:layout>
              <c:tx>
                <c:rich>
                  <a:bodyPr/>
                  <a:lstStyle/>
                  <a:p>
                    <a:fld id="{2E51FE22-65B5-40C1-90DA-99E2E81011EC}" type="CELLRANGE">
                      <a:rPr lang="en-US" baseline="0"/>
                      <a:pPr/>
                      <a:t>[CELLRANGE]</a:t>
                    </a:fld>
                    <a:r>
                      <a:rPr lang="en-US" baseline="0"/>
                      <a:t>, </a:t>
                    </a:r>
                    <a:fld id="{14CC6394-B6F1-4261-8F73-34E844E4630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0B97-4B57-AC50-4823551D3DF3}"/>
                </c:ext>
              </c:extLst>
            </c:dLbl>
            <c:dLbl>
              <c:idx val="19"/>
              <c:layout>
                <c:manualLayout>
                  <c:x val="-8.3565936222781537E-2"/>
                  <c:y val="-2.2163684084943926E-2"/>
                </c:manualLayout>
              </c:layout>
              <c:tx>
                <c:rich>
                  <a:bodyPr/>
                  <a:lstStyle/>
                  <a:p>
                    <a:fld id="{F3274AE4-1404-4823-B158-4A46EED0ECE1}" type="CELLRANGE">
                      <a:rPr lang="en-US" baseline="0"/>
                      <a:pPr/>
                      <a:t>[CELLRANGE]</a:t>
                    </a:fld>
                    <a:r>
                      <a:rPr lang="en-US" baseline="0"/>
                      <a:t>, </a:t>
                    </a:r>
                    <a:fld id="{44CB89D4-7A92-4D07-B632-04FC6735B49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0B97-4B57-AC50-4823551D3DF3}"/>
                </c:ext>
              </c:extLst>
            </c:dLbl>
            <c:dLbl>
              <c:idx val="20"/>
              <c:layout>
                <c:manualLayout>
                  <c:x val="-6.8109312582261522E-2"/>
                  <c:y val="-5.2425833134494552E-2"/>
                </c:manualLayout>
              </c:layout>
              <c:tx>
                <c:rich>
                  <a:bodyPr/>
                  <a:lstStyle/>
                  <a:p>
                    <a:fld id="{A0F478C0-9834-4E0A-B1BB-5D1D04BB5D3F}" type="CELLRANGE">
                      <a:rPr lang="en-US" baseline="0"/>
                      <a:pPr/>
                      <a:t>[CELLRANGE]</a:t>
                    </a:fld>
                    <a:r>
                      <a:rPr lang="en-US" baseline="0"/>
                      <a:t>, </a:t>
                    </a:r>
                    <a:fld id="{B87DA6F0-7BD2-4EF2-B0CE-284A8401757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0B97-4B57-AC50-4823551D3DF3}"/>
                </c:ext>
              </c:extLst>
            </c:dLbl>
            <c:dLbl>
              <c:idx val="21"/>
              <c:layout>
                <c:manualLayout>
                  <c:x val="-8.2111436950146569E-2"/>
                  <c:y val="1.2121212121212121E-2"/>
                </c:manualLayout>
              </c:layout>
              <c:tx>
                <c:rich>
                  <a:bodyPr/>
                  <a:lstStyle/>
                  <a:p>
                    <a:fld id="{49D21F28-FD05-4405-BEB6-890084D4FFB5}" type="CELLRANGE">
                      <a:rPr lang="en-US" baseline="0"/>
                      <a:pPr/>
                      <a:t>[CELLRANGE]</a:t>
                    </a:fld>
                    <a:r>
                      <a:rPr lang="en-US" baseline="0"/>
                      <a:t>, </a:t>
                    </a:r>
                    <a:fld id="{58FEEE14-7100-4688-99DA-5CF6A24C637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0B97-4B57-AC50-4823551D3DF3}"/>
                </c:ext>
              </c:extLst>
            </c:dLbl>
            <c:dLbl>
              <c:idx val="22"/>
              <c:layout>
                <c:manualLayout>
                  <c:x val="-7.251564412219734E-2"/>
                  <c:y val="-5.971367215461704E-3"/>
                </c:manualLayout>
              </c:layout>
              <c:tx>
                <c:rich>
                  <a:bodyPr/>
                  <a:lstStyle/>
                  <a:p>
                    <a:fld id="{30714F5D-862E-4A25-993F-9FEE22A289E8}" type="CELLRANGE">
                      <a:rPr lang="en-US" baseline="0"/>
                      <a:pPr/>
                      <a:t>[CELLRANGE]</a:t>
                    </a:fld>
                    <a:r>
                      <a:rPr lang="en-US" baseline="0"/>
                      <a:t>, </a:t>
                    </a:r>
                    <a:fld id="{D7CF6929-CD37-49AF-8E6B-AA9A25336C6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0B97-4B57-AC50-4823551D3DF3}"/>
                </c:ext>
              </c:extLst>
            </c:dLbl>
            <c:dLbl>
              <c:idx val="23"/>
              <c:layout>
                <c:manualLayout>
                  <c:x val="-8.1944142979195056E-2"/>
                  <c:y val="-3.7413186987990135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0B97-4B57-AC50-4823551D3DF3}"/>
                </c:ext>
              </c:extLst>
            </c:dLbl>
            <c:dLbl>
              <c:idx val="24"/>
              <c:layout>
                <c:manualLayout>
                  <c:x val="-8.5043988269794715E-2"/>
                  <c:y val="-9.9101248707547922E-4"/>
                </c:manualLayout>
              </c:layout>
              <c:tx>
                <c:rich>
                  <a:bodyPr/>
                  <a:lstStyle/>
                  <a:p>
                    <a:fld id="{55839846-FCF0-4A25-AD51-80397DC4EE8F}" type="CELLRANGE">
                      <a:rPr lang="en-US" baseline="0"/>
                      <a:pPr/>
                      <a:t>[CELLRANGE]</a:t>
                    </a:fld>
                    <a:r>
                      <a:rPr lang="en-US" baseline="0"/>
                      <a:t>, </a:t>
                    </a:r>
                    <a:fld id="{1503F768-F885-4C78-A793-A6110043B39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0B97-4B57-AC50-4823551D3DF3}"/>
                </c:ext>
              </c:extLst>
            </c:dLbl>
            <c:dLbl>
              <c:idx val="25"/>
              <c:layout>
                <c:manualLayout>
                  <c:x val="-5.6410256410256411E-2"/>
                  <c:y val="4.539722211895645E-2"/>
                </c:manualLayout>
              </c:layout>
              <c:tx>
                <c:rich>
                  <a:bodyPr/>
                  <a:lstStyle/>
                  <a:p>
                    <a:fld id="{DCD377D5-A610-4649-9F05-7ECEED2F2BD0}" type="CELLRANGE">
                      <a:rPr lang="en-US" baseline="0"/>
                      <a:pPr/>
                      <a:t>[CELLRANGE]</a:t>
                    </a:fld>
                    <a:r>
                      <a:rPr lang="en-US" baseline="0"/>
                      <a:t>, </a:t>
                    </a:r>
                    <a:fld id="{07AF6B8A-EBB1-44DE-A75C-363BB568DB9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9-0B97-4B57-AC50-4823551D3DF3}"/>
                </c:ext>
              </c:extLst>
            </c:dLbl>
            <c:dLbl>
              <c:idx val="26"/>
              <c:layout>
                <c:manualLayout>
                  <c:x val="-7.3313782991202447E-2"/>
                  <c:y val="7.2727272727272724E-2"/>
                </c:manualLayout>
              </c:layout>
              <c:tx>
                <c:rich>
                  <a:bodyPr/>
                  <a:lstStyle/>
                  <a:p>
                    <a:fld id="{EA4BEBDC-172B-4BC0-BEE6-C0BC911FB9B6}" type="CELLRANGE">
                      <a:rPr lang="en-US" baseline="0"/>
                      <a:pPr/>
                      <a:t>[CELLRANGE]</a:t>
                    </a:fld>
                    <a:r>
                      <a:rPr lang="en-US" baseline="0"/>
                      <a:t>, </a:t>
                    </a:r>
                    <a:fld id="{B0F36F2B-3481-466B-8861-501B25A9BEA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A-0B97-4B57-AC50-4823551D3DF3}"/>
                </c:ext>
              </c:extLst>
            </c:dLbl>
            <c:dLbl>
              <c:idx val="27"/>
              <c:layout>
                <c:manualLayout>
                  <c:x val="-9.3119818966910767E-2"/>
                  <c:y val="7.0592539568917522E-3"/>
                </c:manualLayout>
              </c:layout>
              <c:tx>
                <c:rich>
                  <a:bodyPr/>
                  <a:lstStyle/>
                  <a:p>
                    <a:fld id="{08A4E3D2-8260-409D-B8E3-9D10125DDFE6}" type="CELLRANGE">
                      <a:rPr lang="en-US" baseline="0"/>
                      <a:pPr/>
                      <a:t>[CELLRANGE]</a:t>
                    </a:fld>
                    <a:r>
                      <a:rPr lang="en-US" baseline="0"/>
                      <a:t>, </a:t>
                    </a:r>
                    <a:fld id="{6E2F7EEE-FC46-4573-A466-181751D839E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0B97-4B57-AC50-4823551D3DF3}"/>
                </c:ext>
              </c:extLst>
            </c:dLbl>
            <c:dLbl>
              <c:idx val="28"/>
              <c:layout>
                <c:manualLayout>
                  <c:x val="-7.4725274725274723E-2"/>
                  <c:y val="7.8688518339524408E-2"/>
                </c:manualLayout>
              </c:layout>
              <c:tx>
                <c:rich>
                  <a:bodyPr/>
                  <a:lstStyle/>
                  <a:p>
                    <a:fld id="{0BEED5C2-66D4-4CFB-A640-E35849BAFB72}" type="CELLRANGE">
                      <a:rPr lang="en-US" baseline="0"/>
                      <a:pPr/>
                      <a:t>[CELLRANGE]</a:t>
                    </a:fld>
                    <a:r>
                      <a:rPr lang="en-US" baseline="0"/>
                      <a:t>, </a:t>
                    </a:r>
                    <a:fld id="{31824EC5-B476-4112-B6B1-CF539B05FFE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C-0B97-4B57-AC50-4823551D3DF3}"/>
                </c:ext>
              </c:extLst>
            </c:dLbl>
            <c:dLbl>
              <c:idx val="29"/>
              <c:layout>
                <c:manualLayout>
                  <c:x val="6.5934065934064858E-3"/>
                  <c:y val="3.7326604853364122E-2"/>
                </c:manualLayout>
              </c:layout>
              <c:tx>
                <c:rich>
                  <a:bodyPr/>
                  <a:lstStyle/>
                  <a:p>
                    <a:fld id="{AB3535F7-B8F4-44B3-AF2C-CD0A15C74181}" type="CELLRANGE">
                      <a:rPr lang="en-US" baseline="0"/>
                      <a:pPr/>
                      <a:t>[CELLRANGE]</a:t>
                    </a:fld>
                    <a:r>
                      <a:rPr lang="en-US" baseline="0"/>
                      <a:t>, </a:t>
                    </a:r>
                    <a:fld id="{5D669412-3E6C-4580-BC2C-BB5563D3AD8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D-0B97-4B57-AC50-4823551D3DF3}"/>
                </c:ext>
              </c:extLst>
            </c:dLbl>
            <c:dLbl>
              <c:idx val="30"/>
              <c:layout>
                <c:manualLayout>
                  <c:x val="-6.0073260073260075E-2"/>
                  <c:y val="6.2547283808340001E-2"/>
                </c:manualLayout>
              </c:layout>
              <c:tx>
                <c:rich>
                  <a:bodyPr/>
                  <a:lstStyle/>
                  <a:p>
                    <a:fld id="{EE20403C-C9B7-48B9-A068-754BD3E55A42}" type="CELLRANGE">
                      <a:rPr lang="en-US" baseline="0"/>
                      <a:pPr/>
                      <a:t>[CELLRANGE]</a:t>
                    </a:fld>
                    <a:r>
                      <a:rPr lang="en-US" baseline="0"/>
                      <a:t>, </a:t>
                    </a:r>
                    <a:fld id="{852A8305-A3BD-44E7-B65E-3549571AF8E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0B97-4B57-AC50-4823551D3DF3}"/>
                </c:ext>
              </c:extLst>
            </c:dLbl>
            <c:dLbl>
              <c:idx val="31"/>
              <c:layout>
                <c:manualLayout>
                  <c:x val="-9.1650310573348479E-2"/>
                  <c:y val="-4.3476338184999637E-2"/>
                </c:manualLayout>
              </c:layout>
              <c:tx>
                <c:rich>
                  <a:bodyPr/>
                  <a:lstStyle/>
                  <a:p>
                    <a:fld id="{F97612BA-24AF-419D-975A-A7487F92A30F}" type="CELLRANGE">
                      <a:rPr lang="en-US" baseline="0"/>
                      <a:pPr/>
                      <a:t>[CELLRANGE]</a:t>
                    </a:fld>
                    <a:r>
                      <a:rPr lang="en-US" baseline="0"/>
                      <a:t>, </a:t>
                    </a:r>
                    <a:fld id="{59D1C2D6-26D2-4FED-A21E-70CA829599E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0B97-4B57-AC50-4823551D3DF3}"/>
                </c:ext>
              </c:extLst>
            </c:dLbl>
            <c:dLbl>
              <c:idx val="32"/>
              <c:layout>
                <c:manualLayout>
                  <c:x val="-8.0645161290322689E-2"/>
                  <c:y val="-3.23232323232324E-2"/>
                </c:manualLayout>
              </c:layout>
              <c:tx>
                <c:rich>
                  <a:bodyPr/>
                  <a:lstStyle/>
                  <a:p>
                    <a:fld id="{9DBF61C5-B473-4D12-8AFB-49B6218B4911}" type="CELLRANGE">
                      <a:rPr lang="en-US" baseline="0"/>
                      <a:pPr/>
                      <a:t>[CELLRANGE]</a:t>
                    </a:fld>
                    <a:r>
                      <a:rPr lang="en-US" baseline="0"/>
                      <a:t>, </a:t>
                    </a:r>
                    <a:fld id="{9867C6A7-E674-49C8-9094-56A1D0E643E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0-0B97-4B57-AC50-4823551D3DF3}"/>
                </c:ext>
              </c:extLst>
            </c:dLbl>
            <c:dLbl>
              <c:idx val="33"/>
              <c:layout>
                <c:manualLayout>
                  <c:x val="-0.10695970695970701"/>
                  <c:y val="-1.0088271581990322E-2"/>
                </c:manualLayout>
              </c:layout>
              <c:tx>
                <c:rich>
                  <a:bodyPr/>
                  <a:lstStyle/>
                  <a:p>
                    <a:fld id="{94ED9A87-7BB6-4217-A713-3B95F0F1375E}" type="CELLRANGE">
                      <a:rPr lang="en-US" baseline="0"/>
                      <a:pPr/>
                      <a:t>[CELLRANGE]</a:t>
                    </a:fld>
                    <a:r>
                      <a:rPr lang="en-US" baseline="0"/>
                      <a:t>, </a:t>
                    </a:r>
                    <a:fld id="{0E5B24BB-B59F-4835-8277-B05344B3D5B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1-0B97-4B57-AC50-4823551D3DF3}"/>
                </c:ext>
              </c:extLst>
            </c:dLbl>
            <c:dLbl>
              <c:idx val="34"/>
              <c:layout>
                <c:manualLayout>
                  <c:x val="-8.1386380954580201E-2"/>
                  <c:y val="-5.6527479519605503E-2"/>
                </c:manualLayout>
              </c:layout>
              <c:tx>
                <c:rich>
                  <a:bodyPr/>
                  <a:lstStyle/>
                  <a:p>
                    <a:fld id="{C37F3A04-78EC-414D-A5CF-730C677F048C}" type="CELLRANGE">
                      <a:rPr lang="en-US" baseline="0"/>
                      <a:pPr/>
                      <a:t>[CELLRANGE]</a:t>
                    </a:fld>
                    <a:r>
                      <a:rPr lang="en-US" baseline="0"/>
                      <a:t>, </a:t>
                    </a:r>
                    <a:fld id="{D30A3A29-31CC-4775-AF18-516FF20291F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0B97-4B57-AC50-4823551D3DF3}"/>
                </c:ext>
              </c:extLst>
            </c:dLbl>
            <c:dLbl>
              <c:idx val="35"/>
              <c:layout>
                <c:manualLayout>
                  <c:x val="-7.3453483270602901E-3"/>
                  <c:y val="5.0540682414698161E-2"/>
                </c:manualLayout>
              </c:layout>
              <c:tx>
                <c:rich>
                  <a:bodyPr/>
                  <a:lstStyle/>
                  <a:p>
                    <a:fld id="{7D71DA64-6782-407E-9586-027929B286CB}" type="CELLRANGE">
                      <a:rPr lang="en-US" baseline="0"/>
                      <a:pPr/>
                      <a:t>[CELLRANGE]</a:t>
                    </a:fld>
                    <a:r>
                      <a:rPr lang="en-US" baseline="0"/>
                      <a:t>, </a:t>
                    </a:r>
                    <a:fld id="{8A582E81-E694-4A2D-A816-610FE87295C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0B97-4B57-AC50-4823551D3DF3}"/>
                </c:ext>
              </c:extLst>
            </c:dLbl>
            <c:dLbl>
              <c:idx val="36"/>
              <c:layout>
                <c:manualLayout>
                  <c:x val="-5.8608058608058608E-3"/>
                  <c:y val="5.6494320859145804E-2"/>
                </c:manualLayout>
              </c:layout>
              <c:tx>
                <c:rich>
                  <a:bodyPr/>
                  <a:lstStyle/>
                  <a:p>
                    <a:fld id="{DC89B18F-43E7-4019-8724-809F8F5BF490}" type="CELLRANGE">
                      <a:rPr lang="en-US" baseline="0"/>
                      <a:pPr/>
                      <a:t>[CELLRANGE]</a:t>
                    </a:fld>
                    <a:r>
                      <a:rPr lang="en-US" baseline="0"/>
                      <a:t>, </a:t>
                    </a:r>
                    <a:fld id="{5CE5E865-53E1-414A-BDBB-AA658866A06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4-0B97-4B57-AC50-4823551D3DF3}"/>
                </c:ext>
              </c:extLst>
            </c:dLbl>
            <c:dLbl>
              <c:idx val="37"/>
              <c:layout>
                <c:manualLayout>
                  <c:x val="-7.7645992564712399E-2"/>
                  <c:y val="-1.4182136323868682E-2"/>
                </c:manualLayout>
              </c:layout>
              <c:tx>
                <c:rich>
                  <a:bodyPr/>
                  <a:lstStyle/>
                  <a:p>
                    <a:fld id="{8026E8F2-811F-4F69-9286-B904D2CA1CAA}" type="CELLRANGE">
                      <a:rPr lang="en-US" baseline="0"/>
                      <a:pPr/>
                      <a:t>[CELLRANGE]</a:t>
                    </a:fld>
                    <a:r>
                      <a:rPr lang="en-US" baseline="0"/>
                      <a:t>, </a:t>
                    </a:r>
                    <a:fld id="{52B8FB27-923C-4404-890C-2818B6CBD44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5-0B97-4B57-AC50-4823551D3DF3}"/>
                </c:ext>
              </c:extLst>
            </c:dLbl>
            <c:dLbl>
              <c:idx val="38"/>
              <c:layout>
                <c:manualLayout>
                  <c:x val="-8.4225413905373372E-2"/>
                  <c:y val="4.0734908136482199E-3"/>
                </c:manualLayout>
              </c:layout>
              <c:tx>
                <c:rich>
                  <a:bodyPr/>
                  <a:lstStyle/>
                  <a:p>
                    <a:fld id="{1524BE2F-1584-4579-A7D3-F322FED96309}" type="CELLRANGE">
                      <a:rPr lang="en-US" baseline="0"/>
                      <a:pPr/>
                      <a:t>[CELLRANGE]</a:t>
                    </a:fld>
                    <a:r>
                      <a:rPr lang="en-US" baseline="0"/>
                      <a:t>, </a:t>
                    </a:r>
                    <a:fld id="{B7B38C33-62C1-4E9F-942E-E6237070EC5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0B97-4B57-AC50-4823551D3DF3}"/>
                </c:ext>
              </c:extLst>
            </c:dLbl>
            <c:dLbl>
              <c:idx val="39"/>
              <c:layout>
                <c:manualLayout>
                  <c:x val="-8.2114669683884936E-2"/>
                  <c:y val="2.9258569951483262E-2"/>
                </c:manualLayout>
              </c:layout>
              <c:tx>
                <c:rich>
                  <a:bodyPr/>
                  <a:lstStyle/>
                  <a:p>
                    <a:fld id="{06860678-97F4-47DA-B68E-74F492303CF6}" type="CELLRANGE">
                      <a:rPr lang="en-US" baseline="0"/>
                      <a:pPr/>
                      <a:t>[CELLRANGE]</a:t>
                    </a:fld>
                    <a:r>
                      <a:rPr lang="en-US" baseline="0"/>
                      <a:t>, </a:t>
                    </a:r>
                    <a:fld id="{CD3C53C4-0259-4CFA-B827-EBA23D67961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0B97-4B57-AC50-4823551D3DF3}"/>
                </c:ext>
              </c:extLst>
            </c:dLbl>
            <c:dLbl>
              <c:idx val="40"/>
              <c:layout>
                <c:manualLayout>
                  <c:x val="-8.1318681318681432E-2"/>
                  <c:y val="-7.667086402312652E-2"/>
                </c:manualLayout>
              </c:layout>
              <c:tx>
                <c:rich>
                  <a:bodyPr/>
                  <a:lstStyle/>
                  <a:p>
                    <a:fld id="{4EE5F8D1-B80D-4204-81F3-429A66CFB241}" type="CELLRANGE">
                      <a:rPr lang="en-US" baseline="0"/>
                      <a:pPr/>
                      <a:t>[CELLRANGE]</a:t>
                    </a:fld>
                    <a:r>
                      <a:rPr lang="en-US" baseline="0"/>
                      <a:t>, </a:t>
                    </a:r>
                    <a:fld id="{6FF171FC-EA13-411A-9688-7F6389E9614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8-0B97-4B57-AC50-4823551D3DF3}"/>
                </c:ext>
              </c:extLst>
            </c:dLbl>
            <c:dLbl>
              <c:idx val="41"/>
              <c:layout>
                <c:manualLayout>
                  <c:x val="-4.102564102564113E-2"/>
                  <c:y val="6.0529629491941933E-2"/>
                </c:manualLayout>
              </c:layout>
              <c:tx>
                <c:rich>
                  <a:bodyPr/>
                  <a:lstStyle/>
                  <a:p>
                    <a:fld id="{31FA88F6-07B8-4C24-A13C-F5E516AF1EDB}" type="CELLRANGE">
                      <a:rPr lang="en-US" baseline="0"/>
                      <a:pPr/>
                      <a:t>[CELLRANGE]</a:t>
                    </a:fld>
                    <a:r>
                      <a:rPr lang="en-US" baseline="0"/>
                      <a:t>, </a:t>
                    </a:r>
                    <a:fld id="{127B1107-CD23-4BF1-B038-9D34A63A14E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9-0B97-4B57-AC50-4823551D3DF3}"/>
                </c:ext>
              </c:extLst>
            </c:dLbl>
            <c:dLbl>
              <c:idx val="42"/>
              <c:layout>
                <c:manualLayout>
                  <c:x val="-6.2271062271062272E-2"/>
                  <c:y val="-4.9432530751752579E-2"/>
                </c:manualLayout>
              </c:layout>
              <c:tx>
                <c:rich>
                  <a:bodyPr/>
                  <a:lstStyle/>
                  <a:p>
                    <a:fld id="{6186B83D-0727-45D4-AE4A-F29A1F21A3FD}" type="CELLRANGE">
                      <a:rPr lang="en-US" baseline="0"/>
                      <a:pPr/>
                      <a:t>[CELLRANGE]</a:t>
                    </a:fld>
                    <a:r>
                      <a:rPr lang="en-US" baseline="0"/>
                      <a:t>, </a:t>
                    </a:r>
                    <a:fld id="{B544F8F6-DB75-4961-8A7E-4B35A5B2D01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A-0B97-4B57-AC50-4823551D3DF3}"/>
                </c:ext>
              </c:extLst>
            </c:dLbl>
            <c:dLbl>
              <c:idx val="43"/>
              <c:layout>
                <c:manualLayout>
                  <c:x val="-8.9401944258433966E-2"/>
                  <c:y val="-5.6532569792412349E-2"/>
                </c:manualLayout>
              </c:layout>
              <c:tx>
                <c:rich>
                  <a:bodyPr/>
                  <a:lstStyle/>
                  <a:p>
                    <a:fld id="{7C56BD38-8D08-422C-A49B-778A54B786D8}" type="CELLRANGE">
                      <a:rPr lang="en-US" baseline="0"/>
                      <a:pPr/>
                      <a:t>[CELLRANGE]</a:t>
                    </a:fld>
                    <a:r>
                      <a:rPr lang="en-US" baseline="0"/>
                      <a:t>, </a:t>
                    </a:r>
                    <a:fld id="{247EEBD1-9662-4E4B-A349-0AA34E6A1E5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B-0B97-4B57-AC50-4823551D3DF3}"/>
                </c:ext>
              </c:extLst>
            </c:dLbl>
            <c:dLbl>
              <c:idx val="44"/>
              <c:layout>
                <c:manualLayout>
                  <c:x val="-8.0651626757799078E-2"/>
                  <c:y val="-2.2242583313449454E-2"/>
                </c:manualLayout>
              </c:layout>
              <c:tx>
                <c:rich>
                  <a:bodyPr/>
                  <a:lstStyle/>
                  <a:p>
                    <a:fld id="{68516AB1-F3B6-4C2B-9AB2-16B21914F4EF}" type="CELLRANGE">
                      <a:rPr lang="en-US" baseline="0"/>
                      <a:pPr/>
                      <a:t>[CELLRANGE]</a:t>
                    </a:fld>
                    <a:r>
                      <a:rPr lang="en-US" baseline="0"/>
                      <a:t>, </a:t>
                    </a:r>
                    <a:fld id="{6433CA4A-6954-4B29-998C-D08ED06399C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C-0B97-4B57-AC50-4823551D3DF3}"/>
                </c:ext>
              </c:extLst>
            </c:dLbl>
            <c:dLbl>
              <c:idx val="45"/>
              <c:layout>
                <c:manualLayout>
                  <c:x val="-8.3508786108481309E-2"/>
                  <c:y val="-5.1524059492563466E-2"/>
                </c:manualLayout>
              </c:layout>
              <c:tx>
                <c:rich>
                  <a:bodyPr/>
                  <a:lstStyle/>
                  <a:p>
                    <a:fld id="{CEFD14BC-6AC3-48B7-8D69-6BD4D27CBDC7}" type="CELLRANGE">
                      <a:rPr lang="en-US" baseline="0"/>
                      <a:pPr/>
                      <a:t>[CELLRANGE]</a:t>
                    </a:fld>
                    <a:r>
                      <a:rPr lang="en-US" baseline="0"/>
                      <a:t>, </a:t>
                    </a:r>
                    <a:fld id="{F20564C9-3CED-4ED2-A47A-C39E2EF5CFB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D-0B97-4B57-AC50-4823551D3DF3}"/>
                </c:ext>
              </c:extLst>
            </c:dLbl>
            <c:dLbl>
              <c:idx val="46"/>
              <c:layout>
                <c:manualLayout>
                  <c:x val="-7.4780058651026396E-2"/>
                  <c:y val="-2.6262626262626338E-2"/>
                </c:manualLayout>
              </c:layout>
              <c:tx>
                <c:rich>
                  <a:bodyPr/>
                  <a:lstStyle/>
                  <a:p>
                    <a:fld id="{DB93F5EF-6864-45CA-AD5A-628E2FA17F99}" type="CELLRANGE">
                      <a:rPr lang="en-US" baseline="0"/>
                      <a:pPr/>
                      <a:t>[CELLRANGE]</a:t>
                    </a:fld>
                    <a:r>
                      <a:rPr lang="en-US" baseline="0"/>
                      <a:t>, </a:t>
                    </a:r>
                    <a:fld id="{3B181145-F14D-4B8D-8F1E-C903BE7938C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E-0B97-4B57-AC50-4823551D3DF3}"/>
                </c:ext>
              </c:extLst>
            </c:dLbl>
            <c:dLbl>
              <c:idx val="47"/>
              <c:layout>
                <c:manualLayout>
                  <c:x val="-1.8979957050823192E-2"/>
                  <c:y val="-5.7579575280362685E-2"/>
                </c:manualLayout>
              </c:layout>
              <c:tx>
                <c:rich>
                  <a:bodyPr/>
                  <a:lstStyle/>
                  <a:p>
                    <a:fld id="{8234290E-6100-469A-AAE3-9E58CB0A2E93}" type="CELLRANGE">
                      <a:rPr lang="en-US" baseline="0"/>
                      <a:pPr/>
                      <a:t>[CELLRANGE]</a:t>
                    </a:fld>
                    <a:r>
                      <a:rPr lang="en-US" baseline="0"/>
                      <a:t>, </a:t>
                    </a:r>
                    <a:fld id="{ADE4B396-09DA-4349-A406-B3729BE3E05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0B97-4B57-AC50-4823551D3DF3}"/>
                </c:ext>
              </c:extLst>
            </c:dLbl>
            <c:dLbl>
              <c:idx val="48"/>
              <c:layout>
                <c:manualLayout>
                  <c:x val="2.6373626373626266E-2"/>
                  <c:y val="-1.4123580214786451E-2"/>
                </c:manualLayout>
              </c:layout>
              <c:tx>
                <c:rich>
                  <a:bodyPr/>
                  <a:lstStyle/>
                  <a:p>
                    <a:fld id="{F8A6CE36-18E9-4F46-B17B-25C70B28A1BD}" type="CELLRANGE">
                      <a:rPr lang="en-US" baseline="0"/>
                      <a:pPr/>
                      <a:t>[CELLRANGE]</a:t>
                    </a:fld>
                    <a:r>
                      <a:rPr lang="en-US" baseline="0"/>
                      <a:t>, </a:t>
                    </a:r>
                    <a:fld id="{816A2A0D-32C9-41F5-AD34-81868147655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0-0B97-4B57-AC50-4823551D3DF3}"/>
                </c:ext>
              </c:extLst>
            </c:dLbl>
            <c:dLbl>
              <c:idx val="49"/>
              <c:layout>
                <c:manualLayout>
                  <c:x val="-7.9116540051261924E-2"/>
                  <c:y val="2.0204565338423606E-2"/>
                </c:manualLayout>
              </c:layout>
              <c:tx>
                <c:rich>
                  <a:bodyPr/>
                  <a:lstStyle/>
                  <a:p>
                    <a:fld id="{FFE28370-AA58-444F-AE26-1E91E6B2EC95}" type="CELLRANGE">
                      <a:rPr lang="en-US" baseline="0"/>
                      <a:pPr/>
                      <a:t>[CELLRANGE]</a:t>
                    </a:fld>
                    <a:r>
                      <a:rPr lang="en-US" baseline="0"/>
                      <a:t>, </a:t>
                    </a:r>
                    <a:fld id="{F2F326A6-1724-4D7C-BA92-5FBE67DB746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1-0B97-4B57-AC50-4823551D3DF3}"/>
                </c:ext>
              </c:extLst>
            </c:dLbl>
            <c:dLbl>
              <c:idx val="50"/>
              <c:layout>
                <c:manualLayout>
                  <c:x val="-9.4505494505494503E-2"/>
                  <c:y val="9.07944442379129E-2"/>
                </c:manualLayout>
              </c:layout>
              <c:tx>
                <c:rich>
                  <a:bodyPr/>
                  <a:lstStyle/>
                  <a:p>
                    <a:fld id="{556C2D34-DEAC-4256-A103-0E7360E72D5D}" type="CELLRANGE">
                      <a:rPr lang="en-US" baseline="0"/>
                      <a:pPr/>
                      <a:t>[CELLRANGE]</a:t>
                    </a:fld>
                    <a:r>
                      <a:rPr lang="en-US" baseline="0"/>
                      <a:t>, </a:t>
                    </a:r>
                    <a:fld id="{107A7EC1-E940-4612-A8C3-4194A857079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2-0B97-4B57-AC50-4823551D3DF3}"/>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Model'!$Y$16:$Y$66</c:f>
              <c:numCache>
                <c:formatCode>0</c:formatCode>
                <c:ptCount val="51"/>
                <c:pt idx="0">
                  <c:v>1E-4</c:v>
                </c:pt>
                <c:pt idx="1">
                  <c:v>2.8960767337965017</c:v>
                </c:pt>
                <c:pt idx="2">
                  <c:v>2.2201574389854346</c:v>
                </c:pt>
                <c:pt idx="3">
                  <c:v>6.5258753706182011</c:v>
                </c:pt>
                <c:pt idx="4">
                  <c:v>2.3866032543904199</c:v>
                </c:pt>
                <c:pt idx="5">
                  <c:v>0.52094765240149921</c:v>
                </c:pt>
                <c:pt idx="6">
                  <c:v>0.53291642440005527</c:v>
                </c:pt>
                <c:pt idx="7">
                  <c:v>0.5667737396723197</c:v>
                </c:pt>
                <c:pt idx="8">
                  <c:v>0.61616572393310898</c:v>
                </c:pt>
                <c:pt idx="9">
                  <c:v>5.7268603298382876</c:v>
                </c:pt>
                <c:pt idx="10">
                  <c:v>3.1363542735369969</c:v>
                </c:pt>
                <c:pt idx="11" formatCode="0.000">
                  <c:v>1E-3</c:v>
                </c:pt>
                <c:pt idx="12">
                  <c:v>1.5530558751469854</c:v>
                </c:pt>
                <c:pt idx="13">
                  <c:v>2.8538413543995325</c:v>
                </c:pt>
                <c:pt idx="14">
                  <c:v>0.90752544563247861</c:v>
                </c:pt>
                <c:pt idx="15">
                  <c:v>1.0991918117934072</c:v>
                </c:pt>
                <c:pt idx="16">
                  <c:v>1.0297551173680557</c:v>
                </c:pt>
                <c:pt idx="17">
                  <c:v>0.78340558944219951</c:v>
                </c:pt>
                <c:pt idx="18">
                  <c:v>5.1196073648348364</c:v>
                </c:pt>
                <c:pt idx="19">
                  <c:v>1.624953953592766</c:v>
                </c:pt>
                <c:pt idx="20">
                  <c:v>1.2570959759696179</c:v>
                </c:pt>
                <c:pt idx="21">
                  <c:v>0.37196513645169066</c:v>
                </c:pt>
                <c:pt idx="22">
                  <c:v>0.58076329720151199</c:v>
                </c:pt>
                <c:pt idx="23">
                  <c:v>0.70926613651387183</c:v>
                </c:pt>
                <c:pt idx="24">
                  <c:v>0.87984738884105851</c:v>
                </c:pt>
                <c:pt idx="25">
                  <c:v>7.0560983337863803</c:v>
                </c:pt>
                <c:pt idx="26" formatCode="0.000">
                  <c:v>1.5906016029521566</c:v>
                </c:pt>
                <c:pt idx="27">
                  <c:v>1.8306489536124997</c:v>
                </c:pt>
                <c:pt idx="28">
                  <c:v>0.52489167548047277</c:v>
                </c:pt>
                <c:pt idx="29">
                  <c:v>0.82712643868304925</c:v>
                </c:pt>
                <c:pt idx="30">
                  <c:v>0.5883603206857928</c:v>
                </c:pt>
                <c:pt idx="31">
                  <c:v>0.47285635637157053</c:v>
                </c:pt>
                <c:pt idx="32">
                  <c:v>1.9076424448536338</c:v>
                </c:pt>
                <c:pt idx="33">
                  <c:v>3.5063159138692974</c:v>
                </c:pt>
                <c:pt idx="34">
                  <c:v>0.28272458703062131</c:v>
                </c:pt>
                <c:pt idx="35">
                  <c:v>1.668220821106843</c:v>
                </c:pt>
                <c:pt idx="36">
                  <c:v>1.3899520618169807</c:v>
                </c:pt>
                <c:pt idx="37">
                  <c:v>0.92466647398830226</c:v>
                </c:pt>
                <c:pt idx="38">
                  <c:v>0.67958189934392232</c:v>
                </c:pt>
                <c:pt idx="39">
                  <c:v>0.56637916630874652</c:v>
                </c:pt>
                <c:pt idx="40">
                  <c:v>5.5742074622905839</c:v>
                </c:pt>
                <c:pt idx="41">
                  <c:v>1.3564548600082065</c:v>
                </c:pt>
                <c:pt idx="42">
                  <c:v>1.6693087626702732</c:v>
                </c:pt>
                <c:pt idx="43">
                  <c:v>4.4937417145559397</c:v>
                </c:pt>
                <c:pt idx="44">
                  <c:v>1.02933350967168</c:v>
                </c:pt>
                <c:pt idx="45">
                  <c:v>1.5933418928597078</c:v>
                </c:pt>
                <c:pt idx="46">
                  <c:v>1E-4</c:v>
                </c:pt>
                <c:pt idx="47">
                  <c:v>1.2475552840991988</c:v>
                </c:pt>
                <c:pt idx="48">
                  <c:v>0.96179707661778568</c:v>
                </c:pt>
                <c:pt idx="49">
                  <c:v>0.61378893584064254</c:v>
                </c:pt>
                <c:pt idx="50">
                  <c:v>0.34556698038389039</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8-0B97-4B57-AC50-4823551D3DF3}"/>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ax val="5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16758622479882324"/>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United States, Medium </a:t>
            </a:r>
            <a:r>
              <a:rPr lang="en-US" sz="1400" b="0" i="0" u="none" strike="noStrike" kern="1200" spc="0" baseline="0">
                <a:solidFill>
                  <a:sysClr val="windowText" lastClr="000000">
                    <a:lumMod val="65000"/>
                    <a:lumOff val="35000"/>
                  </a:sysClr>
                </a:solidFill>
                <a:latin typeface="+mn-lt"/>
                <a:ea typeface="+mn-ea"/>
                <a:cs typeface="+mn-cs"/>
              </a:rPr>
              <a:t>Risk</a:t>
            </a:r>
            <a:r>
              <a:rPr lang="en-US" sz="1400" b="0"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813281917472924"/>
          <c:y val="0.12105928577109679"/>
          <c:w val="0.83554746041360217"/>
          <c:h val="0.74455495470763233"/>
        </c:manualLayout>
      </c:layout>
      <c:bubbleChart>
        <c:varyColors val="0"/>
        <c:ser>
          <c:idx val="0"/>
          <c:order val="0"/>
          <c:tx>
            <c:strRef>
              <c:f>'Stratified Scenario Model'!$Q$15</c:f>
              <c:strCache>
                <c:ptCount val="1"/>
                <c:pt idx="0">
                  <c:v>TPR Current</c:v>
                </c:pt>
              </c:strCache>
            </c:strRef>
          </c:tx>
          <c:spPr>
            <a:noFill/>
            <a:ln w="19050">
              <a:solidFill>
                <a:schemeClr val="accent1">
                  <a:lumMod val="75000"/>
                </a:schemeClr>
              </a:solidFill>
            </a:ln>
            <a:effectLst/>
          </c:spPr>
          <c:invertIfNegative val="0"/>
          <c:dLbls>
            <c:dLbl>
              <c:idx val="0"/>
              <c:layout>
                <c:manualLayout>
                  <c:x val="-8.4090909090909091E-2"/>
                  <c:y val="0"/>
                </c:manualLayout>
              </c:layout>
              <c:tx>
                <c:rich>
                  <a:bodyPr/>
                  <a:lstStyle/>
                  <a:p>
                    <a:fld id="{768B4E3A-77E1-4CC8-93E6-67799CDF725A}" type="CELLRANGE">
                      <a:rPr lang="en-US" baseline="0"/>
                      <a:pPr/>
                      <a:t>[CELLRANGE]</a:t>
                    </a:fld>
                    <a:r>
                      <a:rPr lang="en-US" baseline="0"/>
                      <a:t>, </a:t>
                    </a:r>
                    <a:fld id="{4F38FCD7-D88D-4ABC-BEA2-8270DCC6AC6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2EBD-4C0D-9FC2-E4B61F51348D}"/>
                </c:ext>
              </c:extLst>
            </c:dLbl>
            <c:dLbl>
              <c:idx val="1"/>
              <c:tx>
                <c:rich>
                  <a:bodyPr/>
                  <a:lstStyle/>
                  <a:p>
                    <a:fld id="{47151F6D-9869-4C5F-A948-77F9F90C0989}" type="CELLRANGE">
                      <a:rPr lang="en-US"/>
                      <a:pPr/>
                      <a:t>[CELLRANGE]</a:t>
                    </a:fld>
                    <a:r>
                      <a:rPr lang="en-US" baseline="0"/>
                      <a:t>, </a:t>
                    </a:r>
                    <a:fld id="{A8FF91D6-96A0-4AB3-AFF1-019E45B3B26C}"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EBD-4C0D-9FC2-E4B61F51348D}"/>
                </c:ext>
              </c:extLst>
            </c:dLbl>
            <c:dLbl>
              <c:idx val="2"/>
              <c:tx>
                <c:rich>
                  <a:bodyPr/>
                  <a:lstStyle/>
                  <a:p>
                    <a:fld id="{ADFA6C1B-750B-45DC-9172-82BAB84799FB}" type="CELLRANGE">
                      <a:rPr lang="en-US"/>
                      <a:pPr/>
                      <a:t>[CELLRANGE]</a:t>
                    </a:fld>
                    <a:r>
                      <a:rPr lang="en-US" baseline="0"/>
                      <a:t>, </a:t>
                    </a:r>
                    <a:fld id="{C207AFF2-41E7-4BEB-978E-A72AB1A5E4E0}"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EBD-4C0D-9FC2-E4B61F51348D}"/>
                </c:ext>
              </c:extLst>
            </c:dLbl>
            <c:dLbl>
              <c:idx val="3"/>
              <c:tx>
                <c:rich>
                  <a:bodyPr/>
                  <a:lstStyle/>
                  <a:p>
                    <a:fld id="{DF0C109A-B1F3-4DCB-917A-77B52BB3E20A}" type="CELLRANGE">
                      <a:rPr lang="en-US"/>
                      <a:pPr/>
                      <a:t>[CELLRANGE]</a:t>
                    </a:fld>
                    <a:r>
                      <a:rPr lang="en-US" baseline="0"/>
                      <a:t>, </a:t>
                    </a:r>
                    <a:fld id="{E8607070-DDC3-4043-9C9F-2BF81E4BF137}"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EBD-4C0D-9FC2-E4B61F51348D}"/>
                </c:ext>
              </c:extLst>
            </c:dLbl>
            <c:dLbl>
              <c:idx val="4"/>
              <c:tx>
                <c:rich>
                  <a:bodyPr/>
                  <a:lstStyle/>
                  <a:p>
                    <a:fld id="{3D784BA3-A05A-4555-818F-2A20014172B9}" type="CELLRANGE">
                      <a:rPr lang="en-US"/>
                      <a:pPr/>
                      <a:t>[CELLRANGE]</a:t>
                    </a:fld>
                    <a:r>
                      <a:rPr lang="en-US" baseline="0"/>
                      <a:t>, </a:t>
                    </a:r>
                    <a:fld id="{9559D7C2-1DA0-48D5-AF42-1278C30ED06A}"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EBD-4C0D-9FC2-E4B61F51348D}"/>
                </c:ext>
              </c:extLst>
            </c:dLbl>
            <c:dLbl>
              <c:idx val="5"/>
              <c:tx>
                <c:rich>
                  <a:bodyPr/>
                  <a:lstStyle/>
                  <a:p>
                    <a:fld id="{DE0D0583-5EFC-467C-962F-7282AA30A64A}" type="CELLRANGE">
                      <a:rPr lang="en-US"/>
                      <a:pPr/>
                      <a:t>[CELLRANGE]</a:t>
                    </a:fld>
                    <a:r>
                      <a:rPr lang="en-US" baseline="0"/>
                      <a:t>, </a:t>
                    </a:r>
                    <a:fld id="{F2C7DF49-F5A0-412A-938C-BDEA085F8B9D}"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EBD-4C0D-9FC2-E4B61F51348D}"/>
                </c:ext>
              </c:extLst>
            </c:dLbl>
            <c:dLbl>
              <c:idx val="6"/>
              <c:layout>
                <c:manualLayout>
                  <c:x val="-7.6320571732052658E-2"/>
                  <c:y val="-1.8181818181818181E-2"/>
                </c:manualLayout>
              </c:layout>
              <c:tx>
                <c:rich>
                  <a:bodyPr/>
                  <a:lstStyle/>
                  <a:p>
                    <a:fld id="{F281C88C-8544-4DBB-B8A5-D0E6E3AEF509}" type="CELLRANGE">
                      <a:rPr lang="en-US" baseline="0"/>
                      <a:pPr/>
                      <a:t>[CELLRANGE]</a:t>
                    </a:fld>
                    <a:r>
                      <a:rPr lang="en-US" baseline="0"/>
                      <a:t>, </a:t>
                    </a:r>
                    <a:fld id="{914A8736-DEFB-48F2-80FF-0420A880000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2EBD-4C0D-9FC2-E4B61F51348D}"/>
                </c:ext>
              </c:extLst>
            </c:dLbl>
            <c:dLbl>
              <c:idx val="7"/>
              <c:tx>
                <c:rich>
                  <a:bodyPr/>
                  <a:lstStyle/>
                  <a:p>
                    <a:fld id="{E7285EB4-5360-4A24-9EF6-0F4394C1D81F}" type="CELLRANGE">
                      <a:rPr lang="en-US"/>
                      <a:pPr/>
                      <a:t>[CELLRANGE]</a:t>
                    </a:fld>
                    <a:r>
                      <a:rPr lang="en-US" baseline="0"/>
                      <a:t>, </a:t>
                    </a:r>
                    <a:fld id="{008ECDE8-CB86-43FD-8323-E915CE9E6876}"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EBD-4C0D-9FC2-E4B61F51348D}"/>
                </c:ext>
              </c:extLst>
            </c:dLbl>
            <c:dLbl>
              <c:idx val="8"/>
              <c:layout>
                <c:manualLayout>
                  <c:x val="-9.2201376220934259E-2"/>
                  <c:y val="2.0202020202020127E-2"/>
                </c:manualLayout>
              </c:layout>
              <c:tx>
                <c:rich>
                  <a:bodyPr/>
                  <a:lstStyle/>
                  <a:p>
                    <a:fld id="{7BC1D80F-6A89-4F19-89F0-534C5298FE77}" type="CELLRANGE">
                      <a:rPr lang="en-US" baseline="0"/>
                      <a:pPr/>
                      <a:t>[CELLRANGE]</a:t>
                    </a:fld>
                    <a:r>
                      <a:rPr lang="en-US" baseline="0"/>
                      <a:t>, </a:t>
                    </a:r>
                    <a:fld id="{06991645-D1A9-4286-8315-2D5ADFD6ED8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2EBD-4C0D-9FC2-E4B61F51348D}"/>
                </c:ext>
              </c:extLst>
            </c:dLbl>
            <c:dLbl>
              <c:idx val="9"/>
              <c:tx>
                <c:rich>
                  <a:bodyPr/>
                  <a:lstStyle/>
                  <a:p>
                    <a:fld id="{28C4E110-70FE-42D0-83B6-4A358B230720}" type="CELLRANGE">
                      <a:rPr lang="en-US"/>
                      <a:pPr/>
                      <a:t>[CELLRANGE]</a:t>
                    </a:fld>
                    <a:r>
                      <a:rPr lang="en-US" baseline="0"/>
                      <a:t>, </a:t>
                    </a:r>
                    <a:fld id="{03E82825-2BFF-4739-B12D-6A769B00B46C}"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EBD-4C0D-9FC2-E4B61F51348D}"/>
                </c:ext>
              </c:extLst>
            </c:dLbl>
            <c:dLbl>
              <c:idx val="10"/>
              <c:tx>
                <c:rich>
                  <a:bodyPr/>
                  <a:lstStyle/>
                  <a:p>
                    <a:fld id="{C1F16250-2727-4A72-BEC5-7201DFC9F5B6}" type="CELLRANGE">
                      <a:rPr lang="en-US"/>
                      <a:pPr/>
                      <a:t>[CELLRANGE]</a:t>
                    </a:fld>
                    <a:r>
                      <a:rPr lang="en-US" baseline="0"/>
                      <a:t>, </a:t>
                    </a:r>
                    <a:fld id="{925A5DF7-3DE5-4C6E-B8C6-DE54A842AF91}"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EBD-4C0D-9FC2-E4B61F51348D}"/>
                </c:ext>
              </c:extLst>
            </c:dLbl>
            <c:dLbl>
              <c:idx val="11"/>
              <c:layout>
                <c:manualLayout>
                  <c:x val="-8.7302052785923651E-2"/>
                  <c:y val="0"/>
                </c:manualLayout>
              </c:layout>
              <c:tx>
                <c:rich>
                  <a:bodyPr/>
                  <a:lstStyle/>
                  <a:p>
                    <a:fld id="{7504BC98-AC27-4877-9244-D9DB0891D9B7}" type="CELLRANGE">
                      <a:rPr lang="en-US" baseline="0"/>
                      <a:pPr/>
                      <a:t>[CELLRANGE]</a:t>
                    </a:fld>
                    <a:r>
                      <a:rPr lang="en-US" baseline="0"/>
                      <a:t>, </a:t>
                    </a:r>
                    <a:fld id="{2117A22B-935A-4E7E-A5ED-3EE63A9F848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2EBD-4C0D-9FC2-E4B61F51348D}"/>
                </c:ext>
              </c:extLst>
            </c:dLbl>
            <c:dLbl>
              <c:idx val="12"/>
              <c:tx>
                <c:rich>
                  <a:bodyPr/>
                  <a:lstStyle/>
                  <a:p>
                    <a:fld id="{A1D828FE-08B4-449A-B1BF-F5AADB685622}" type="CELLRANGE">
                      <a:rPr lang="en-US"/>
                      <a:pPr/>
                      <a:t>[CELLRANGE]</a:t>
                    </a:fld>
                    <a:r>
                      <a:rPr lang="en-US" baseline="0"/>
                      <a:t>, </a:t>
                    </a:r>
                    <a:fld id="{718A1226-A3CC-4B0C-8B38-4F3A0984A81C}"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EBD-4C0D-9FC2-E4B61F51348D}"/>
                </c:ext>
              </c:extLst>
            </c:dLbl>
            <c:dLbl>
              <c:idx val="13"/>
              <c:tx>
                <c:rich>
                  <a:bodyPr/>
                  <a:lstStyle/>
                  <a:p>
                    <a:fld id="{37FD1E94-618A-4686-8801-55909BB20BCA}" type="CELLRANGE">
                      <a:rPr lang="en-US"/>
                      <a:pPr/>
                      <a:t>[CELLRANGE]</a:t>
                    </a:fld>
                    <a:r>
                      <a:rPr lang="en-US" baseline="0"/>
                      <a:t>, </a:t>
                    </a:r>
                    <a:fld id="{78A06FDD-BC74-4C9B-8FC2-079053EF7659}"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EBD-4C0D-9FC2-E4B61F51348D}"/>
                </c:ext>
              </c:extLst>
            </c:dLbl>
            <c:dLbl>
              <c:idx val="14"/>
              <c:layout>
                <c:manualLayout>
                  <c:x val="-8.2667986699609661E-2"/>
                  <c:y val="-2.3232243696810626E-2"/>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fld id="{44D114D0-1834-473D-9E4F-E93D4D732A78}" type="CELLRANGE">
                      <a:rPr lang="en-US" baseline="0"/>
                      <a:pPr>
                        <a:defRPr sz="800"/>
                      </a:pPr>
                      <a:t>[CELLRANGE]</a:t>
                    </a:fld>
                    <a:r>
                      <a:rPr lang="en-US" baseline="0"/>
                      <a:t>, </a:t>
                    </a:r>
                    <a:fld id="{51F315C8-3AB3-4F7E-99A9-887BFB270656}" type="BUBBLESIZE">
                      <a:rPr lang="en-US" baseline="0"/>
                      <a:pPr>
                        <a:defRPr sz="800"/>
                      </a:pPr>
                      <a:t>[BUBBLE SIZE]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layout>
                    <c:manualLayout>
                      <c:w val="3.6598240469208204E-2"/>
                      <c:h val="1.9727352262785332E-2"/>
                    </c:manualLayout>
                  </c15:layout>
                  <c15:dlblFieldTable/>
                  <c15:showDataLabelsRange val="1"/>
                </c:ext>
                <c:ext xmlns:c16="http://schemas.microsoft.com/office/drawing/2014/chart" uri="{C3380CC4-5D6E-409C-BE32-E72D297353CC}">
                  <c16:uniqueId val="{0000000E-2EBD-4C0D-9FC2-E4B61F51348D}"/>
                </c:ext>
              </c:extLst>
            </c:dLbl>
            <c:dLbl>
              <c:idx val="15"/>
              <c:tx>
                <c:rich>
                  <a:bodyPr/>
                  <a:lstStyle/>
                  <a:p>
                    <a:fld id="{84C6F72B-3057-4536-8DB0-D1C66F12F9EA}" type="CELLRANGE">
                      <a:rPr lang="en-US"/>
                      <a:pPr/>
                      <a:t>[CELLRANGE]</a:t>
                    </a:fld>
                    <a:r>
                      <a:rPr lang="en-US" baseline="0"/>
                      <a:t>, </a:t>
                    </a:r>
                    <a:fld id="{7484F398-AD93-4FF5-B2A8-505BAD42E5C3}"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EBD-4C0D-9FC2-E4B61F51348D}"/>
                </c:ext>
              </c:extLst>
            </c:dLbl>
            <c:dLbl>
              <c:idx val="16"/>
              <c:tx>
                <c:rich>
                  <a:bodyPr/>
                  <a:lstStyle/>
                  <a:p>
                    <a:fld id="{7F68D8D5-9B08-4449-A045-EAAD2125DC2D}" type="CELLRANGE">
                      <a:rPr lang="en-US"/>
                      <a:pPr/>
                      <a:t>[CELLRANGE]</a:t>
                    </a:fld>
                    <a:r>
                      <a:rPr lang="en-US" baseline="0"/>
                      <a:t>, </a:t>
                    </a:r>
                    <a:fld id="{7462E959-F51E-472D-92CB-8C8C869395C3}"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EBD-4C0D-9FC2-E4B61F51348D}"/>
                </c:ext>
              </c:extLst>
            </c:dLbl>
            <c:dLbl>
              <c:idx val="17"/>
              <c:tx>
                <c:rich>
                  <a:bodyPr/>
                  <a:lstStyle/>
                  <a:p>
                    <a:fld id="{6D4DCF66-C7B1-4C77-946F-C2A7599B251F}" type="CELLRANGE">
                      <a:rPr lang="en-US"/>
                      <a:pPr/>
                      <a:t>[CELLRANGE]</a:t>
                    </a:fld>
                    <a:r>
                      <a:rPr lang="en-US" baseline="0"/>
                      <a:t>, </a:t>
                    </a:r>
                    <a:fld id="{267E011A-B529-4191-B9B6-97726AC140AD}"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EBD-4C0D-9FC2-E4B61F51348D}"/>
                </c:ext>
              </c:extLst>
            </c:dLbl>
            <c:dLbl>
              <c:idx val="18"/>
              <c:tx>
                <c:rich>
                  <a:bodyPr/>
                  <a:lstStyle/>
                  <a:p>
                    <a:fld id="{D462BBCB-3AE7-4526-A9E6-ED4AE6C95170}" type="CELLRANGE">
                      <a:rPr lang="en-US"/>
                      <a:pPr/>
                      <a:t>[CELLRANGE]</a:t>
                    </a:fld>
                    <a:r>
                      <a:rPr lang="en-US" baseline="0"/>
                      <a:t>, </a:t>
                    </a:r>
                    <a:fld id="{E1198BAF-CF6F-4D9C-84ED-9B837AF86C56}"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EBD-4C0D-9FC2-E4B61F51348D}"/>
                </c:ext>
              </c:extLst>
            </c:dLbl>
            <c:dLbl>
              <c:idx val="19"/>
              <c:layout>
                <c:manualLayout>
                  <c:x val="-8.11191031472972E-2"/>
                  <c:y val="-2.2222222222222223E-2"/>
                </c:manualLayout>
              </c:layout>
              <c:tx>
                <c:rich>
                  <a:bodyPr/>
                  <a:lstStyle/>
                  <a:p>
                    <a:fld id="{79C5B8B7-41F6-409C-B1F7-AE4B31897058}" type="CELLRANGE">
                      <a:rPr lang="en-US" baseline="0"/>
                      <a:pPr/>
                      <a:t>[CELLRANGE]</a:t>
                    </a:fld>
                    <a:r>
                      <a:rPr lang="en-US" baseline="0"/>
                      <a:t>, </a:t>
                    </a:r>
                    <a:fld id="{10E29AE7-A1D0-43B8-A734-2EA8228118E9}"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2EBD-4C0D-9FC2-E4B61F51348D}"/>
                </c:ext>
              </c:extLst>
            </c:dLbl>
            <c:dLbl>
              <c:idx val="20"/>
              <c:layout>
                <c:manualLayout>
                  <c:x val="-7.658196134574087E-2"/>
                  <c:y val="-4.4444444444444481E-2"/>
                </c:manualLayout>
              </c:layout>
              <c:tx>
                <c:rich>
                  <a:bodyPr/>
                  <a:lstStyle/>
                  <a:p>
                    <a:fld id="{E692B6D3-7015-4779-8952-1381C28851AE}" type="CELLRANGE">
                      <a:rPr lang="en-US" baseline="0"/>
                      <a:pPr/>
                      <a:t>[CELLRANGE]</a:t>
                    </a:fld>
                    <a:r>
                      <a:rPr lang="en-US" baseline="0"/>
                      <a:t>, </a:t>
                    </a:r>
                    <a:fld id="{6ABCA5F9-8465-49CF-9959-A70F8CBDD7D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2EBD-4C0D-9FC2-E4B61F51348D}"/>
                </c:ext>
              </c:extLst>
            </c:dLbl>
            <c:dLbl>
              <c:idx val="21"/>
              <c:layout>
                <c:manualLayout>
                  <c:x val="-7.3228231001916597E-2"/>
                  <c:y val="3.4343434343434343E-2"/>
                </c:manualLayout>
              </c:layout>
              <c:tx>
                <c:rich>
                  <a:bodyPr/>
                  <a:lstStyle/>
                  <a:p>
                    <a:fld id="{5D5FF718-8EE5-40A9-BEB9-AC94D55B3F6F}" type="CELLRANGE">
                      <a:rPr lang="en-US" baseline="0"/>
                      <a:pPr/>
                      <a:t>[CELLRANGE]</a:t>
                    </a:fld>
                    <a:r>
                      <a:rPr lang="en-US" baseline="0"/>
                      <a:t>, </a:t>
                    </a:r>
                    <a:fld id="{BDF476B8-56CB-40F1-A2A9-1782D0D74FE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2EBD-4C0D-9FC2-E4B61F51348D}"/>
                </c:ext>
              </c:extLst>
            </c:dLbl>
            <c:dLbl>
              <c:idx val="22"/>
              <c:layout>
                <c:manualLayout>
                  <c:x val="-8.3936546054910285E-2"/>
                  <c:y val="-7.4073218373934501E-17"/>
                </c:manualLayout>
              </c:layout>
              <c:tx>
                <c:rich>
                  <a:bodyPr/>
                  <a:lstStyle/>
                  <a:p>
                    <a:fld id="{91190280-EA16-4627-BC23-69FAE59A9898}" type="CELLRANGE">
                      <a:rPr lang="en-US" baseline="0"/>
                      <a:pPr/>
                      <a:t>[CELLRANGE]</a:t>
                    </a:fld>
                    <a:r>
                      <a:rPr lang="en-US" baseline="0"/>
                      <a:t>, </a:t>
                    </a:r>
                    <a:fld id="{A4893A7F-1E19-4A58-894A-F1AE0032558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2EBD-4C0D-9FC2-E4B61F51348D}"/>
                </c:ext>
              </c:extLst>
            </c:dLbl>
            <c:dLbl>
              <c:idx val="23"/>
              <c:layout>
                <c:manualLayout>
                  <c:x val="-7.8089338905950642E-2"/>
                  <c:y val="-4.040404040404040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2EBD-4C0D-9FC2-E4B61F51348D}"/>
                </c:ext>
              </c:extLst>
            </c:dLbl>
            <c:dLbl>
              <c:idx val="24"/>
              <c:tx>
                <c:rich>
                  <a:bodyPr/>
                  <a:lstStyle/>
                  <a:p>
                    <a:fld id="{8C58AB8A-046D-4805-8455-964121CC4FEC}" type="CELLRANGE">
                      <a:rPr lang="en-US"/>
                      <a:pPr/>
                      <a:t>[CELLRANGE]</a:t>
                    </a:fld>
                    <a:r>
                      <a:rPr lang="en-US" baseline="0"/>
                      <a:t>, </a:t>
                    </a:r>
                    <a:fld id="{4E7B0601-1CAE-4726-B845-23834FEEEA25}"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EBD-4C0D-9FC2-E4B61F51348D}"/>
                </c:ext>
              </c:extLst>
            </c:dLbl>
            <c:dLbl>
              <c:idx val="25"/>
              <c:tx>
                <c:rich>
                  <a:bodyPr/>
                  <a:lstStyle/>
                  <a:p>
                    <a:fld id="{348800BD-7F78-4E01-A5F0-0E9FEEA2E52B}" type="CELLRANGE">
                      <a:rPr lang="en-US"/>
                      <a:pPr/>
                      <a:t>[CELLRANGE]</a:t>
                    </a:fld>
                    <a:r>
                      <a:rPr lang="en-US" baseline="0"/>
                      <a:t>, </a:t>
                    </a:r>
                    <a:fld id="{AB2333B5-7F5D-4877-9876-CEDD674F11F0}"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EBD-4C0D-9FC2-E4B61F51348D}"/>
                </c:ext>
              </c:extLst>
            </c:dLbl>
            <c:dLbl>
              <c:idx val="26"/>
              <c:layout>
                <c:manualLayout>
                  <c:x val="-8.1662202415313925E-2"/>
                  <c:y val="8.0808080808080808E-3"/>
                </c:manualLayout>
              </c:layout>
              <c:tx>
                <c:rich>
                  <a:bodyPr/>
                  <a:lstStyle/>
                  <a:p>
                    <a:fld id="{590CB060-F12B-4133-A4C5-68DC6C7E7776}" type="CELLRANGE">
                      <a:rPr lang="en-US" baseline="0"/>
                      <a:pPr/>
                      <a:t>[CELLRANGE]</a:t>
                    </a:fld>
                    <a:r>
                      <a:rPr lang="en-US" baseline="0"/>
                      <a:t>, </a:t>
                    </a:r>
                    <a:fld id="{AC6DD39B-E842-42F9-92D1-E404C8ACA1F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A-2EBD-4C0D-9FC2-E4B61F51348D}"/>
                </c:ext>
              </c:extLst>
            </c:dLbl>
            <c:dLbl>
              <c:idx val="27"/>
              <c:layout>
                <c:manualLayout>
                  <c:x val="-0.1118323827556746"/>
                  <c:y val="-2.0202020202020202E-3"/>
                </c:manualLayout>
              </c:layout>
              <c:tx>
                <c:rich>
                  <a:bodyPr/>
                  <a:lstStyle/>
                  <a:p>
                    <a:fld id="{3F0527C3-BE0B-436F-85D7-A13A0E1FCDF2}" type="CELLRANGE">
                      <a:rPr lang="en-US" baseline="0"/>
                      <a:pPr/>
                      <a:t>[CELLRANGE]</a:t>
                    </a:fld>
                    <a:r>
                      <a:rPr lang="en-US" baseline="0"/>
                      <a:t>, </a:t>
                    </a:r>
                    <a:fld id="{D2A395E6-4A7B-493F-8CA3-87484B9E0F70}"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2EBD-4C0D-9FC2-E4B61F51348D}"/>
                </c:ext>
              </c:extLst>
            </c:dLbl>
            <c:dLbl>
              <c:idx val="28"/>
              <c:tx>
                <c:rich>
                  <a:bodyPr/>
                  <a:lstStyle/>
                  <a:p>
                    <a:fld id="{19C0AF67-0FD3-44E3-B3FB-B071126AA4EB}" type="CELLRANGE">
                      <a:rPr lang="en-US"/>
                      <a:pPr/>
                      <a:t>[CELLRANGE]</a:t>
                    </a:fld>
                    <a:r>
                      <a:rPr lang="en-US" baseline="0"/>
                      <a:t>, </a:t>
                    </a:r>
                    <a:fld id="{4A4C69DA-436C-47A9-9E69-F5AB283787C8}"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EBD-4C0D-9FC2-E4B61F51348D}"/>
                </c:ext>
              </c:extLst>
            </c:dLbl>
            <c:dLbl>
              <c:idx val="29"/>
              <c:tx>
                <c:rich>
                  <a:bodyPr/>
                  <a:lstStyle/>
                  <a:p>
                    <a:fld id="{F5E65ADB-179C-465E-9BBF-39EF35D049DE}" type="CELLRANGE">
                      <a:rPr lang="en-US"/>
                      <a:pPr/>
                      <a:t>[CELLRANGE]</a:t>
                    </a:fld>
                    <a:r>
                      <a:rPr lang="en-US" baseline="0"/>
                      <a:t>, </a:t>
                    </a:r>
                    <a:fld id="{993C53CE-4192-4549-AFBB-C9AE5D2B44E3}"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EBD-4C0D-9FC2-E4B61F51348D}"/>
                </c:ext>
              </c:extLst>
            </c:dLbl>
            <c:dLbl>
              <c:idx val="30"/>
              <c:layout>
                <c:manualLayout>
                  <c:x val="-7.3505784284295841E-2"/>
                  <c:y val="4.4444444444444516E-2"/>
                </c:manualLayout>
              </c:layout>
              <c:tx>
                <c:rich>
                  <a:bodyPr/>
                  <a:lstStyle/>
                  <a:p>
                    <a:fld id="{07CBD494-9856-41FD-AC8A-0288E46E381E}" type="CELLRANGE">
                      <a:rPr lang="en-US" baseline="0"/>
                      <a:pPr/>
                      <a:t>[CELLRANGE]</a:t>
                    </a:fld>
                    <a:r>
                      <a:rPr lang="en-US" baseline="0"/>
                      <a:t>, </a:t>
                    </a:r>
                    <a:fld id="{CB6FCE5A-4C63-4432-98DD-CC801CDF3E2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2EBD-4C0D-9FC2-E4B61F51348D}"/>
                </c:ext>
              </c:extLst>
            </c:dLbl>
            <c:dLbl>
              <c:idx val="31"/>
              <c:layout>
                <c:manualLayout>
                  <c:x val="-8.578809430346139E-2"/>
                  <c:y val="-2.6666666666666668E-2"/>
                </c:manualLayout>
              </c:layout>
              <c:tx>
                <c:rich>
                  <a:bodyPr/>
                  <a:lstStyle/>
                  <a:p>
                    <a:fld id="{08253C52-6357-4F97-8D54-3DD0ABAA01B6}" type="CELLRANGE">
                      <a:rPr lang="en-US" baseline="0"/>
                      <a:pPr/>
                      <a:t>[CELLRANGE]</a:t>
                    </a:fld>
                    <a:r>
                      <a:rPr lang="en-US" baseline="0"/>
                      <a:t>, </a:t>
                    </a:r>
                    <a:fld id="{0B115C83-655B-4F24-96CC-1FD912DD5B2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2EBD-4C0D-9FC2-E4B61F51348D}"/>
                </c:ext>
              </c:extLst>
            </c:dLbl>
            <c:dLbl>
              <c:idx val="32"/>
              <c:layout>
                <c:manualLayout>
                  <c:x val="-8.1848084605260121E-2"/>
                  <c:y val="-2.2222222222222296E-2"/>
                </c:manualLayout>
              </c:layout>
              <c:tx>
                <c:rich>
                  <a:bodyPr/>
                  <a:lstStyle/>
                  <a:p>
                    <a:fld id="{014203BB-5E86-4085-A40D-2B4C419E1574}" type="CELLRANGE">
                      <a:rPr lang="en-US" baseline="0"/>
                      <a:pPr/>
                      <a:t>[CELLRANGE]</a:t>
                    </a:fld>
                    <a:r>
                      <a:rPr lang="en-US" baseline="0"/>
                      <a:t>, </a:t>
                    </a:r>
                    <a:fld id="{9D069386-67C3-4CBC-ABE1-81753E6E61B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0-2EBD-4C0D-9FC2-E4B61F51348D}"/>
                </c:ext>
              </c:extLst>
            </c:dLbl>
            <c:dLbl>
              <c:idx val="33"/>
              <c:tx>
                <c:rich>
                  <a:bodyPr/>
                  <a:lstStyle/>
                  <a:p>
                    <a:fld id="{D0DE7A4D-5281-4849-97AD-F8F23EF05DF5}" type="CELLRANGE">
                      <a:rPr lang="en-US"/>
                      <a:pPr/>
                      <a:t>[CELLRANGE]</a:t>
                    </a:fld>
                    <a:r>
                      <a:rPr lang="en-US" baseline="0"/>
                      <a:t>, </a:t>
                    </a:r>
                    <a:fld id="{BCCE9F01-8DB5-4DD4-9F7F-FE4890BD081F}"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EBD-4C0D-9FC2-E4B61F51348D}"/>
                </c:ext>
              </c:extLst>
            </c:dLbl>
            <c:dLbl>
              <c:idx val="34"/>
              <c:layout>
                <c:manualLayout>
                  <c:x val="-7.4671438797423134E-2"/>
                  <c:y val="-1.2929292929292929E-2"/>
                </c:manualLayout>
              </c:layout>
              <c:tx>
                <c:rich>
                  <a:bodyPr/>
                  <a:lstStyle/>
                  <a:p>
                    <a:fld id="{85672F1A-2BA5-4AE7-996C-3A348D40AA3A}" type="CELLRANGE">
                      <a:rPr lang="en-US" baseline="0"/>
                      <a:pPr/>
                      <a:t>[CELLRANGE]</a:t>
                    </a:fld>
                    <a:r>
                      <a:rPr lang="en-US" baseline="0"/>
                      <a:t>, </a:t>
                    </a:r>
                    <a:fld id="{0A6FF264-A994-4F9F-AE40-7560B662787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2EBD-4C0D-9FC2-E4B61F51348D}"/>
                </c:ext>
              </c:extLst>
            </c:dLbl>
            <c:dLbl>
              <c:idx val="35"/>
              <c:layout>
                <c:manualLayout>
                  <c:x val="-8.2263837254947347E-2"/>
                  <c:y val="5.8585858585858588E-2"/>
                </c:manualLayout>
              </c:layout>
              <c:tx>
                <c:rich>
                  <a:bodyPr/>
                  <a:lstStyle/>
                  <a:p>
                    <a:fld id="{BEA53182-EA4A-45E0-866D-4516CE851479}" type="CELLRANGE">
                      <a:rPr lang="en-US" baseline="0"/>
                      <a:pPr/>
                      <a:t>[CELLRANGE]</a:t>
                    </a:fld>
                    <a:r>
                      <a:rPr lang="en-US" baseline="0"/>
                      <a:t>, </a:t>
                    </a:r>
                    <a:fld id="{2793343C-2D4C-49C8-BBB1-05BDDE3F0B60}"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2EBD-4C0D-9FC2-E4B61F51348D}"/>
                </c:ext>
              </c:extLst>
            </c:dLbl>
            <c:dLbl>
              <c:idx val="36"/>
              <c:tx>
                <c:rich>
                  <a:bodyPr/>
                  <a:lstStyle/>
                  <a:p>
                    <a:fld id="{3E531881-FB8E-4553-80C9-8C3910A247F1}" type="CELLRANGE">
                      <a:rPr lang="en-US"/>
                      <a:pPr/>
                      <a:t>[CELLRANGE]</a:t>
                    </a:fld>
                    <a:r>
                      <a:rPr lang="en-US" baseline="0"/>
                      <a:t>, </a:t>
                    </a:r>
                    <a:fld id="{1A34B384-A505-4583-9881-E595B4C78E10}"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EBD-4C0D-9FC2-E4B61F51348D}"/>
                </c:ext>
              </c:extLst>
            </c:dLbl>
            <c:dLbl>
              <c:idx val="37"/>
              <c:layout>
                <c:manualLayout>
                  <c:x val="-0.10414563465490567"/>
                  <c:y val="6.0606060606060606E-3"/>
                </c:manualLayout>
              </c:layout>
              <c:tx>
                <c:rich>
                  <a:bodyPr/>
                  <a:lstStyle/>
                  <a:p>
                    <a:fld id="{9D36C9CB-57A4-4C92-8009-D940C6A1459B}" type="CELLRANGE">
                      <a:rPr lang="en-US" baseline="0"/>
                      <a:pPr/>
                      <a:t>[CELLRANGE]</a:t>
                    </a:fld>
                    <a:r>
                      <a:rPr lang="en-US" baseline="0"/>
                      <a:t>, </a:t>
                    </a:r>
                    <a:fld id="{40F0EE06-36BD-4BBE-B38C-BD27B50F4C2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5-2EBD-4C0D-9FC2-E4B61F51348D}"/>
                </c:ext>
              </c:extLst>
            </c:dLbl>
            <c:dLbl>
              <c:idx val="38"/>
              <c:layout>
                <c:manualLayout>
                  <c:x val="-8.2513681390999044E-2"/>
                  <c:y val="-3.0303030303030377E-2"/>
                </c:manualLayout>
              </c:layout>
              <c:tx>
                <c:rich>
                  <a:bodyPr/>
                  <a:lstStyle/>
                  <a:p>
                    <a:fld id="{794F0ED5-4617-4934-A8E0-185DEF268131}" type="CELLRANGE">
                      <a:rPr lang="en-US" baseline="0"/>
                      <a:pPr/>
                      <a:t>[CELLRANGE]</a:t>
                    </a:fld>
                    <a:r>
                      <a:rPr lang="en-US" baseline="0"/>
                      <a:t>, </a:t>
                    </a:r>
                    <a:fld id="{B8ABB38E-205C-4BAE-A9DB-10E3DE078ED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2EBD-4C0D-9FC2-E4B61F51348D}"/>
                </c:ext>
              </c:extLst>
            </c:dLbl>
            <c:dLbl>
              <c:idx val="39"/>
              <c:layout>
                <c:manualLayout>
                  <c:x val="-8.1206733322557553E-2"/>
                  <c:y val="3.2323232323232323E-2"/>
                </c:manualLayout>
              </c:layout>
              <c:tx>
                <c:rich>
                  <a:bodyPr/>
                  <a:lstStyle/>
                  <a:p>
                    <a:fld id="{1233761A-B622-4504-98A7-6538F9A81883}" type="CELLRANGE">
                      <a:rPr lang="en-US" baseline="0"/>
                      <a:pPr/>
                      <a:t>[CELLRANGE]</a:t>
                    </a:fld>
                    <a:r>
                      <a:rPr lang="en-US" baseline="0"/>
                      <a:t>, </a:t>
                    </a:r>
                    <a:fld id="{3DA025FC-91BE-4794-BC7B-38B99CD61A20}"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2EBD-4C0D-9FC2-E4B61F51348D}"/>
                </c:ext>
              </c:extLst>
            </c:dLbl>
            <c:dLbl>
              <c:idx val="40"/>
              <c:tx>
                <c:rich>
                  <a:bodyPr/>
                  <a:lstStyle/>
                  <a:p>
                    <a:fld id="{AB90CBBD-8B1A-45E7-A70F-55B7ACE20A33}" type="CELLRANGE">
                      <a:rPr lang="en-US"/>
                      <a:pPr/>
                      <a:t>[CELLRANGE]</a:t>
                    </a:fld>
                    <a:r>
                      <a:rPr lang="en-US" baseline="0"/>
                      <a:t>, </a:t>
                    </a:r>
                    <a:fld id="{2E01591D-C97E-4806-B657-0DF55F6026E5}"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EBD-4C0D-9FC2-E4B61F51348D}"/>
                </c:ext>
              </c:extLst>
            </c:dLbl>
            <c:dLbl>
              <c:idx val="41"/>
              <c:layout>
                <c:manualLayout>
                  <c:x val="-0.10592271457270187"/>
                  <c:y val="1.2121212121212121E-2"/>
                </c:manualLayout>
              </c:layout>
              <c:tx>
                <c:rich>
                  <a:bodyPr/>
                  <a:lstStyle/>
                  <a:p>
                    <a:fld id="{EBE5B1CF-FAE8-4DC1-BC93-428C73F672B0}" type="CELLRANGE">
                      <a:rPr lang="en-US" baseline="0"/>
                      <a:pPr/>
                      <a:t>[CELLRANGE]</a:t>
                    </a:fld>
                    <a:r>
                      <a:rPr lang="en-US" baseline="0"/>
                      <a:t>, </a:t>
                    </a:r>
                    <a:fld id="{F02CCFFB-0D7A-4A69-BBAF-2BFF685D31F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9-2EBD-4C0D-9FC2-E4B61F51348D}"/>
                </c:ext>
              </c:extLst>
            </c:dLbl>
            <c:dLbl>
              <c:idx val="42"/>
              <c:tx>
                <c:rich>
                  <a:bodyPr/>
                  <a:lstStyle/>
                  <a:p>
                    <a:fld id="{C15B1591-7EED-47A7-9C56-1F3872E34AEB}" type="CELLRANGE">
                      <a:rPr lang="en-US"/>
                      <a:pPr/>
                      <a:t>[CELLRANGE]</a:t>
                    </a:fld>
                    <a:r>
                      <a:rPr lang="en-US" baseline="0"/>
                      <a:t>, </a:t>
                    </a:r>
                    <a:fld id="{F3608B51-55AB-4BD7-A5DC-55B3B8387B8D}"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EBD-4C0D-9FC2-E4B61F51348D}"/>
                </c:ext>
              </c:extLst>
            </c:dLbl>
            <c:dLbl>
              <c:idx val="43"/>
              <c:layout>
                <c:manualLayout>
                  <c:x val="-9.029798877779574E-2"/>
                  <c:y val="-6.2626262626262669E-2"/>
                </c:manualLayout>
              </c:layout>
              <c:tx>
                <c:rich>
                  <a:bodyPr/>
                  <a:lstStyle/>
                  <a:p>
                    <a:fld id="{DA4A6248-D2A1-4DDF-A299-AB555AE55F9D}" type="CELLRANGE">
                      <a:rPr lang="en-US" baseline="0"/>
                      <a:pPr/>
                      <a:t>[CELLRANGE]</a:t>
                    </a:fld>
                    <a:r>
                      <a:rPr lang="en-US" baseline="0"/>
                      <a:t>, </a:t>
                    </a:r>
                    <a:fld id="{F42AB4E8-FD6F-44CF-8947-62FE7074140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B-2EBD-4C0D-9FC2-E4B61F51348D}"/>
                </c:ext>
              </c:extLst>
            </c:dLbl>
            <c:dLbl>
              <c:idx val="44"/>
              <c:layout>
                <c:manualLayout>
                  <c:x val="-0.10055302837878413"/>
                  <c:y val="-5.25252525252526E-2"/>
                </c:manualLayout>
              </c:layout>
              <c:tx>
                <c:rich>
                  <a:bodyPr/>
                  <a:lstStyle/>
                  <a:p>
                    <a:fld id="{6220226B-7A85-4D3E-9AF9-8CC3783282E0}" type="CELLRANGE">
                      <a:rPr lang="en-US" baseline="0"/>
                      <a:pPr/>
                      <a:t>[CELLRANGE]</a:t>
                    </a:fld>
                    <a:r>
                      <a:rPr lang="en-US" baseline="0"/>
                      <a:t>, </a:t>
                    </a:r>
                    <a:fld id="{DEDC4856-395F-4DAB-A810-8E6B4E3C006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C-2EBD-4C0D-9FC2-E4B61F51348D}"/>
                </c:ext>
              </c:extLst>
            </c:dLbl>
            <c:dLbl>
              <c:idx val="45"/>
              <c:tx>
                <c:rich>
                  <a:bodyPr/>
                  <a:lstStyle/>
                  <a:p>
                    <a:fld id="{6DFA5E29-1EA9-47B5-84A8-75B935D723C1}" type="CELLRANGE">
                      <a:rPr lang="en-US"/>
                      <a:pPr/>
                      <a:t>[CELLRANGE]</a:t>
                    </a:fld>
                    <a:r>
                      <a:rPr lang="en-US" baseline="0"/>
                      <a:t>, </a:t>
                    </a:r>
                    <a:fld id="{189ADAE5-9BCC-4653-A896-B4402977DD37}"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EBD-4C0D-9FC2-E4B61F51348D}"/>
                </c:ext>
              </c:extLst>
            </c:dLbl>
            <c:dLbl>
              <c:idx val="46"/>
              <c:layout>
                <c:manualLayout>
                  <c:x val="-8.2781536472163852E-2"/>
                  <c:y val="-4.0404040404040407E-2"/>
                </c:manualLayout>
              </c:layout>
              <c:tx>
                <c:rich>
                  <a:bodyPr/>
                  <a:lstStyle/>
                  <a:p>
                    <a:fld id="{9876DFAC-AD01-4086-99DC-5DFDEE7B7BEF}" type="CELLRANGE">
                      <a:rPr lang="en-US" baseline="0"/>
                      <a:pPr/>
                      <a:t>[CELLRANGE]</a:t>
                    </a:fld>
                    <a:r>
                      <a:rPr lang="en-US" baseline="0"/>
                      <a:t>, </a:t>
                    </a:r>
                    <a:fld id="{CF00AB6F-7D0F-4349-98F6-5C247D8C66D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E-2EBD-4C0D-9FC2-E4B61F51348D}"/>
                </c:ext>
              </c:extLst>
            </c:dLbl>
            <c:dLbl>
              <c:idx val="47"/>
              <c:layout>
                <c:manualLayout>
                  <c:x val="-6.3025492414621187E-2"/>
                  <c:y val="-5.6565656565656569E-2"/>
                </c:manualLayout>
              </c:layout>
              <c:tx>
                <c:rich>
                  <a:bodyPr/>
                  <a:lstStyle/>
                  <a:p>
                    <a:fld id="{3BA92D72-D66E-4D9C-8FAF-431F99989C10}" type="CELLRANGE">
                      <a:rPr lang="en-US" baseline="0"/>
                      <a:pPr/>
                      <a:t>[CELLRANGE]</a:t>
                    </a:fld>
                    <a:r>
                      <a:rPr lang="en-US" baseline="0"/>
                      <a:t>, </a:t>
                    </a:r>
                    <a:fld id="{10FC1057-C1C2-4333-BC43-A4A1FBA2203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2EBD-4C0D-9FC2-E4B61F51348D}"/>
                </c:ext>
              </c:extLst>
            </c:dLbl>
            <c:dLbl>
              <c:idx val="48"/>
              <c:tx>
                <c:rich>
                  <a:bodyPr/>
                  <a:lstStyle/>
                  <a:p>
                    <a:fld id="{FF66F862-3F77-43CA-B1E0-0FD6509332A0}" type="CELLRANGE">
                      <a:rPr lang="en-US"/>
                      <a:pPr/>
                      <a:t>[CELLRANGE]</a:t>
                    </a:fld>
                    <a:r>
                      <a:rPr lang="en-US" baseline="0"/>
                      <a:t>, </a:t>
                    </a:r>
                    <a:fld id="{038D9423-DCB8-46C1-AE13-232A9352A481}"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EBD-4C0D-9FC2-E4B61F51348D}"/>
                </c:ext>
              </c:extLst>
            </c:dLbl>
            <c:dLbl>
              <c:idx val="49"/>
              <c:layout>
                <c:manualLayout>
                  <c:x val="-7.9247119403329722E-2"/>
                  <c:y val="3.2323232323232323E-2"/>
                </c:manualLayout>
              </c:layout>
              <c:tx>
                <c:rich>
                  <a:bodyPr/>
                  <a:lstStyle/>
                  <a:p>
                    <a:fld id="{252D9CA4-1518-49BF-B28C-94EC8CA88AA1}" type="CELLRANGE">
                      <a:rPr lang="en-US" baseline="0"/>
                      <a:pPr/>
                      <a:t>[CELLRANGE]</a:t>
                    </a:fld>
                    <a:r>
                      <a:rPr lang="en-US" baseline="0"/>
                      <a:t>, </a:t>
                    </a:r>
                    <a:fld id="{26D805FC-72DB-47CC-9615-04274DAA884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1-2EBD-4C0D-9FC2-E4B61F51348D}"/>
                </c:ext>
              </c:extLst>
            </c:dLbl>
            <c:dLbl>
              <c:idx val="50"/>
              <c:tx>
                <c:rich>
                  <a:bodyPr/>
                  <a:lstStyle/>
                  <a:p>
                    <a:fld id="{D2600064-4472-4893-BD78-6376ED5A7239}" type="CELLRANGE">
                      <a:rPr lang="en-US"/>
                      <a:pPr/>
                      <a:t>[CELLRANGE]</a:t>
                    </a:fld>
                    <a:r>
                      <a:rPr lang="en-US" baseline="0"/>
                      <a:t>, </a:t>
                    </a:r>
                    <a:fld id="{E510EE59-4F74-4B8E-99B6-9BA58E0C45FE}"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EBD-4C0D-9FC2-E4B61F51348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Model'!$S$16:$S$66</c:f>
              <c:numCache>
                <c:formatCode>0%</c:formatCode>
                <c:ptCount val="51"/>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3-2EBD-4C0D-9FC2-E4B61F51348D}"/>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ax val="5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5256796746560528"/>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PepsiCo U.S. Locations, Medium </a:t>
            </a:r>
            <a:r>
              <a:rPr lang="en-US" sz="1400" b="0" i="0" u="none" strike="noStrike" kern="1200" spc="0" baseline="0">
                <a:solidFill>
                  <a:sysClr val="windowText" lastClr="000000">
                    <a:lumMod val="65000"/>
                    <a:lumOff val="35000"/>
                  </a:sysClr>
                </a:solidFill>
                <a:latin typeface="+mn-lt"/>
                <a:ea typeface="+mn-ea"/>
                <a:cs typeface="+mn-cs"/>
              </a:rPr>
              <a:t>Risk</a:t>
            </a:r>
            <a:r>
              <a:rPr lang="en-US" sz="1400" b="0"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 PEP'!$P$15</c:f>
              <c:strCache>
                <c:ptCount val="1"/>
                <c:pt idx="0">
                  <c:v>Test Positive Rate Current</c:v>
                </c:pt>
              </c:strCache>
            </c:strRef>
          </c:tx>
          <c:spPr>
            <a:noFill/>
            <a:ln w="19050">
              <a:solidFill>
                <a:schemeClr val="accent1">
                  <a:lumMod val="75000"/>
                </a:schemeClr>
              </a:solidFill>
            </a:ln>
            <a:effectLst/>
          </c:spPr>
          <c:invertIfNegative val="0"/>
          <c:dLbls>
            <c:dLbl>
              <c:idx val="0"/>
              <c:tx>
                <c:rich>
                  <a:bodyPr/>
                  <a:lstStyle/>
                  <a:p>
                    <a:fld id="{DFDE0C08-AEF1-4C07-B1C2-F74F7E554BD1}" type="CELLRANGE">
                      <a:rPr lang="en-US"/>
                      <a:pPr/>
                      <a:t>[CELLRANGE]</a:t>
                    </a:fld>
                    <a:r>
                      <a:rPr lang="en-US" baseline="0"/>
                      <a:t>, </a:t>
                    </a:r>
                    <a:fld id="{771C8214-2ADD-4D21-AE3D-8FC0379C92D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CA7-4E25-8FFD-B9A1D84A6AD7}"/>
                </c:ext>
              </c:extLst>
            </c:dLbl>
            <c:dLbl>
              <c:idx val="1"/>
              <c:layout>
                <c:manualLayout>
                  <c:x val="4.395604395604288E-3"/>
                  <c:y val="4.7414876435354442E-2"/>
                </c:manualLayout>
              </c:layout>
              <c:tx>
                <c:rich>
                  <a:bodyPr/>
                  <a:lstStyle/>
                  <a:p>
                    <a:fld id="{596E460A-801C-459D-AC2E-9064664C201A}" type="CELLRANGE">
                      <a:rPr lang="en-US" baseline="0"/>
                      <a:pPr/>
                      <a:t>[CELLRANGE]</a:t>
                    </a:fld>
                    <a:r>
                      <a:rPr lang="en-US" baseline="0"/>
                      <a:t>, </a:t>
                    </a:r>
                    <a:fld id="{EB4F1771-0EFF-4B32-9D99-B72833EA154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ECA7-4E25-8FFD-B9A1D84A6AD7}"/>
                </c:ext>
              </c:extLst>
            </c:dLbl>
            <c:dLbl>
              <c:idx val="2"/>
              <c:layout>
                <c:manualLayout>
                  <c:x val="-9.2299050961738391E-2"/>
                  <c:y val="9.4791537421458683E-2"/>
                </c:manualLayout>
              </c:layout>
              <c:tx>
                <c:rich>
                  <a:bodyPr/>
                  <a:lstStyle/>
                  <a:p>
                    <a:fld id="{2A5BFFB5-C1A4-4937-A4D7-F53070F2222B}" type="CELLRANGE">
                      <a:rPr lang="en-US" baseline="0"/>
                      <a:pPr/>
                      <a:t>[CELLRANGE]</a:t>
                    </a:fld>
                    <a:r>
                      <a:rPr lang="en-US" baseline="0"/>
                      <a:t>, </a:t>
                    </a:r>
                    <a:fld id="{638C2650-3A0F-4662-BE8E-E04131EE5D1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ECA7-4E25-8FFD-B9A1D84A6AD7}"/>
                </c:ext>
              </c:extLst>
            </c:dLbl>
            <c:dLbl>
              <c:idx val="3"/>
              <c:layout>
                <c:manualLayout>
                  <c:x val="-8.4981684981684985E-2"/>
                  <c:y val="-1.2105925898388386E-2"/>
                </c:manualLayout>
              </c:layout>
              <c:tx>
                <c:rich>
                  <a:bodyPr/>
                  <a:lstStyle/>
                  <a:p>
                    <a:fld id="{6BDF3381-1798-4DDB-9302-FF350221E47B}" type="CELLRANGE">
                      <a:rPr lang="en-US" baseline="0"/>
                      <a:pPr/>
                      <a:t>[CELLRANGE]</a:t>
                    </a:fld>
                    <a:r>
                      <a:rPr lang="en-US" baseline="0"/>
                      <a:t>, </a:t>
                    </a:r>
                    <a:fld id="{784381C6-47C4-4A59-ACD5-D4CECB6FA25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ECA7-4E25-8FFD-B9A1D84A6AD7}"/>
                </c:ext>
              </c:extLst>
            </c:dLbl>
            <c:dLbl>
              <c:idx val="4"/>
              <c:layout>
                <c:manualLayout>
                  <c:x val="-0.12662174706167589"/>
                  <c:y val="-5.200248150799338E-2"/>
                </c:manualLayout>
              </c:layout>
              <c:tx>
                <c:rich>
                  <a:bodyPr/>
                  <a:lstStyle/>
                  <a:p>
                    <a:fld id="{DCE9C6EB-8BA6-472A-AB8A-9E8E03FE2B7D}" type="CELLRANGE">
                      <a:rPr lang="en-US" baseline="0"/>
                      <a:pPr/>
                      <a:t>[CELLRANGE]</a:t>
                    </a:fld>
                    <a:r>
                      <a:rPr lang="en-US" baseline="0"/>
                      <a:t>, </a:t>
                    </a:r>
                    <a:fld id="{D8A151BB-29EE-4EE6-A1A7-1EC7FD73E6F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ECA7-4E25-8FFD-B9A1D84A6AD7}"/>
                </c:ext>
              </c:extLst>
            </c:dLbl>
            <c:dLbl>
              <c:idx val="5"/>
              <c:layout>
                <c:manualLayout>
                  <c:x val="5.8608058608057532E-3"/>
                  <c:y val="-6.2547283808340029E-2"/>
                </c:manualLayout>
              </c:layout>
              <c:tx>
                <c:rich>
                  <a:bodyPr/>
                  <a:lstStyle/>
                  <a:p>
                    <a:fld id="{9CC3DBB3-0AC2-44DF-8B6A-CB9278FE75E6}" type="CELLRANGE">
                      <a:rPr lang="en-US" baseline="0"/>
                      <a:pPr/>
                      <a:t>[CELLRANGE]</a:t>
                    </a:fld>
                    <a:r>
                      <a:rPr lang="en-US" baseline="0"/>
                      <a:t>, </a:t>
                    </a:r>
                    <a:fld id="{114CACEA-EF3E-4C4A-B24C-BB98618C413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ECA7-4E25-8FFD-B9A1D84A6AD7}"/>
                </c:ext>
              </c:extLst>
            </c:dLbl>
            <c:dLbl>
              <c:idx val="6"/>
              <c:layout>
                <c:manualLayout>
                  <c:x val="-4.6920821114369501E-2"/>
                  <c:y val="-0.11319494154139824"/>
                </c:manualLayout>
              </c:layout>
              <c:tx>
                <c:rich>
                  <a:bodyPr/>
                  <a:lstStyle/>
                  <a:p>
                    <a:fld id="{9C995DAE-21D8-4FDC-B388-F2B93AF59FC8}" type="CELLRANGE">
                      <a:rPr lang="en-US" baseline="0"/>
                      <a:pPr/>
                      <a:t>[CELLRANGE]</a:t>
                    </a:fld>
                    <a:r>
                      <a:rPr lang="en-US" baseline="0"/>
                      <a:t>, </a:t>
                    </a:r>
                    <a:fld id="{86B483C0-3C2F-41C5-BF56-2B5E3B0D5FF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ECA7-4E25-8FFD-B9A1D84A6AD7}"/>
                </c:ext>
              </c:extLst>
            </c:dLbl>
            <c:dLbl>
              <c:idx val="7"/>
              <c:layout>
                <c:manualLayout>
                  <c:x val="-8.9442815249266866E-2"/>
                  <c:y val="8.6810148731408646E-2"/>
                </c:manualLayout>
              </c:layout>
              <c:tx>
                <c:rich>
                  <a:bodyPr/>
                  <a:lstStyle/>
                  <a:p>
                    <a:fld id="{9FBCA266-F9C4-4C3E-94B5-A5BE1CABA6AD}" type="CELLRANGE">
                      <a:rPr lang="en-US" baseline="0"/>
                      <a:pPr/>
                      <a:t>[CELLRANGE]</a:t>
                    </a:fld>
                    <a:r>
                      <a:rPr lang="en-US" baseline="0"/>
                      <a:t>, </a:t>
                    </a:r>
                    <a:fld id="{3F922D6D-CDC1-4DC3-9C71-1CD32F4D24A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ECA7-4E25-8FFD-B9A1D84A6AD7}"/>
                </c:ext>
              </c:extLst>
            </c:dLbl>
            <c:dLbl>
              <c:idx val="8"/>
              <c:layout>
                <c:manualLayout>
                  <c:x val="-7.9057542660539978E-2"/>
                  <c:y val="8.0841167581325063E-2"/>
                </c:manualLayout>
              </c:layout>
              <c:tx>
                <c:rich>
                  <a:bodyPr/>
                  <a:lstStyle/>
                  <a:p>
                    <a:fld id="{0DB73CE7-C0B5-45DE-8B53-B19EF33739D8}" type="CELLRANGE">
                      <a:rPr lang="en-US" baseline="0"/>
                      <a:pPr/>
                      <a:t>[CELLRANGE]</a:t>
                    </a:fld>
                    <a:r>
                      <a:rPr lang="en-US" baseline="0"/>
                      <a:t>, </a:t>
                    </a:r>
                    <a:fld id="{A96033D8-D738-43A4-916A-FED89C2E460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ECA7-4E25-8FFD-B9A1D84A6AD7}"/>
                </c:ext>
              </c:extLst>
            </c:dLbl>
            <c:dLbl>
              <c:idx val="9"/>
              <c:layout>
                <c:manualLayout>
                  <c:x val="-9.1575091575091569E-2"/>
                  <c:y val="-5.3467839384548708E-2"/>
                </c:manualLayout>
              </c:layout>
              <c:tx>
                <c:rich>
                  <a:bodyPr/>
                  <a:lstStyle/>
                  <a:p>
                    <a:fld id="{34450BF7-2794-49D7-9ADA-F06F2FA2492A}" type="CELLRANGE">
                      <a:rPr lang="en-US" baseline="0"/>
                      <a:pPr/>
                      <a:t>[CELLRANGE]</a:t>
                    </a:fld>
                    <a:r>
                      <a:rPr lang="en-US" baseline="0"/>
                      <a:t>, </a:t>
                    </a:r>
                    <a:fld id="{E18E2263-713F-46ED-A27D-6891D88A2B3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ECA7-4E25-8FFD-B9A1D84A6AD7}"/>
                </c:ext>
              </c:extLst>
            </c:dLbl>
            <c:dLbl>
              <c:idx val="10"/>
              <c:layout>
                <c:manualLayout>
                  <c:x val="-3.3699633699633698E-2"/>
                  <c:y val="-6.6582592441136165E-2"/>
                </c:manualLayout>
              </c:layout>
              <c:tx>
                <c:rich>
                  <a:bodyPr/>
                  <a:lstStyle/>
                  <a:p>
                    <a:fld id="{B0829A81-4C9E-456F-A74C-A8409D3EE315}" type="CELLRANGE">
                      <a:rPr lang="en-US" baseline="0"/>
                      <a:pPr/>
                      <a:t>[CELLRANGE]</a:t>
                    </a:fld>
                    <a:r>
                      <a:rPr lang="en-US" baseline="0"/>
                      <a:t>, </a:t>
                    </a:r>
                    <a:fld id="{42AB7F61-C346-497A-BE45-504A30E8E7D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ECA7-4E25-8FFD-B9A1D84A6AD7}"/>
                </c:ext>
              </c:extLst>
            </c:dLbl>
            <c:dLbl>
              <c:idx val="11"/>
              <c:layout>
                <c:manualLayout>
                  <c:x val="-4.3695014662756597E-2"/>
                  <c:y val="7.1919191919191924E-2"/>
                </c:manualLayout>
              </c:layout>
              <c:tx>
                <c:rich>
                  <a:bodyPr/>
                  <a:lstStyle/>
                  <a:p>
                    <a:fld id="{1E8E2CD0-86DC-491A-9479-4D50BB8C294D}" type="CELLRANGE">
                      <a:rPr lang="en-US" baseline="0"/>
                      <a:pPr/>
                      <a:t>[CELLRANGE]</a:t>
                    </a:fld>
                    <a:r>
                      <a:rPr lang="en-US" baseline="0"/>
                      <a:t>, </a:t>
                    </a:r>
                    <a:fld id="{89B6E631-0C86-436C-B52C-44AACC2BEFC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ECA7-4E25-8FFD-B9A1D84A6AD7}"/>
                </c:ext>
              </c:extLst>
            </c:dLbl>
            <c:dLbl>
              <c:idx val="12"/>
              <c:layout>
                <c:manualLayout>
                  <c:x val="-9.2016648578751706E-2"/>
                  <c:y val="-0.11311604231289273"/>
                </c:manualLayout>
              </c:layout>
              <c:tx>
                <c:rich>
                  <a:bodyPr/>
                  <a:lstStyle/>
                  <a:p>
                    <a:fld id="{6065DA83-9458-45E2-A97F-93068E418A9E}" type="CELLRANGE">
                      <a:rPr lang="en-US" baseline="0"/>
                      <a:pPr/>
                      <a:t>[CELLRANGE]</a:t>
                    </a:fld>
                    <a:r>
                      <a:rPr lang="en-US" baseline="0"/>
                      <a:t>, </a:t>
                    </a:r>
                    <a:fld id="{135D3ABD-3BDF-42F4-87A1-A9522679A05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ECA7-4E25-8FFD-B9A1D84A6AD7}"/>
                </c:ext>
              </c:extLst>
            </c:dLbl>
            <c:dLbl>
              <c:idx val="13"/>
              <c:layout>
                <c:manualLayout>
                  <c:x val="-9.5278938739695659E-2"/>
                  <c:y val="7.5661974071422888E-2"/>
                </c:manualLayout>
              </c:layout>
              <c:tx>
                <c:rich>
                  <a:bodyPr/>
                  <a:lstStyle/>
                  <a:p>
                    <a:fld id="{5DE11C8D-8191-4F28-A00D-65945A47A545}" type="CELLRANGE">
                      <a:rPr lang="en-US" baseline="0"/>
                      <a:pPr/>
                      <a:t>[CELLRANGE]</a:t>
                    </a:fld>
                    <a:r>
                      <a:rPr lang="en-US" baseline="0"/>
                      <a:t>, </a:t>
                    </a:r>
                    <a:fld id="{60EEBCBC-87C8-447F-9240-6963B5E2C5E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ECA7-4E25-8FFD-B9A1D84A6AD7}"/>
                </c:ext>
              </c:extLst>
            </c:dLbl>
            <c:dLbl>
              <c:idx val="14"/>
              <c:layout>
                <c:manualLayout>
                  <c:x val="-8.2051285011660938E-2"/>
                  <c:y val="6.560693549669927E-2"/>
                </c:manualLayout>
              </c:layout>
              <c:tx>
                <c:rich>
                  <a:bodyPr/>
                  <a:lstStyle/>
                  <a:p>
                    <a:fld id="{B8DF3AAB-82F6-4399-92CA-3E603096A1D6}" type="CELLRANGE">
                      <a:rPr lang="en-US" baseline="0"/>
                      <a:pPr/>
                      <a:t>[CELLRANGE]</a:t>
                    </a:fld>
                    <a:r>
                      <a:rPr lang="en-US" baseline="0"/>
                      <a:t>, </a:t>
                    </a:r>
                    <a:fld id="{019273FB-623D-4410-9560-AAE7F727F40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ECA7-4E25-8FFD-B9A1D84A6AD7}"/>
                </c:ext>
              </c:extLst>
            </c:dLbl>
            <c:dLbl>
              <c:idx val="15"/>
              <c:layout>
                <c:manualLayout>
                  <c:x val="-0.15397614704320323"/>
                  <c:y val="-5.974962220631512E-2"/>
                </c:manualLayout>
              </c:layout>
              <c:tx>
                <c:rich>
                  <a:bodyPr/>
                  <a:lstStyle/>
                  <a:p>
                    <a:fld id="{1C848577-A690-4103-89DF-60F400284331}" type="CELLRANGE">
                      <a:rPr lang="en-US" baseline="0"/>
                      <a:pPr/>
                      <a:t>[CELLRANGE]</a:t>
                    </a:fld>
                    <a:r>
                      <a:rPr lang="en-US" baseline="0"/>
                      <a:t>, </a:t>
                    </a:r>
                    <a:fld id="{E3ED37DE-7E05-4608-A639-3C62413D531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ECA7-4E25-8FFD-B9A1D84A6AD7}"/>
                </c:ext>
              </c:extLst>
            </c:dLbl>
            <c:dLbl>
              <c:idx val="16"/>
              <c:layout>
                <c:manualLayout>
                  <c:x val="-0.13923707483778605"/>
                  <c:y val="-1.0045017100135211E-2"/>
                </c:manualLayout>
              </c:layout>
              <c:tx>
                <c:rich>
                  <a:bodyPr/>
                  <a:lstStyle/>
                  <a:p>
                    <a:fld id="{7AF5C4FF-904E-46B8-A283-C06444BE556D}" type="CELLRANGE">
                      <a:rPr lang="en-US" baseline="0"/>
                      <a:pPr/>
                      <a:t>[CELLRANGE]</a:t>
                    </a:fld>
                    <a:r>
                      <a:rPr lang="en-US" baseline="0"/>
                      <a:t>, </a:t>
                    </a:r>
                    <a:fld id="{8155196C-9114-46A2-9413-FF76EE77F9C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ECA7-4E25-8FFD-B9A1D84A6AD7}"/>
                </c:ext>
              </c:extLst>
            </c:dLbl>
            <c:dLbl>
              <c:idx val="17"/>
              <c:layout>
                <c:manualLayout>
                  <c:x val="-0.10339552497286812"/>
                  <c:y val="-7.262021792730454E-2"/>
                </c:manualLayout>
              </c:layout>
              <c:tx>
                <c:rich>
                  <a:bodyPr/>
                  <a:lstStyle/>
                  <a:p>
                    <a:fld id="{BFE4C33A-486C-4196-A864-5E0AC676BE3F}" type="CELLRANGE">
                      <a:rPr lang="en-US" baseline="0"/>
                      <a:pPr/>
                      <a:t>[CELLRANGE]</a:t>
                    </a:fld>
                    <a:r>
                      <a:rPr lang="en-US" baseline="0"/>
                      <a:t>, </a:t>
                    </a:r>
                    <a:fld id="{5CC915FC-E0D3-423D-AFCC-BD3264B1B80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ECA7-4E25-8FFD-B9A1D84A6AD7}"/>
                </c:ext>
              </c:extLst>
            </c:dLbl>
            <c:dLbl>
              <c:idx val="18"/>
              <c:layout>
                <c:manualLayout>
                  <c:x val="-0.13489736070381231"/>
                  <c:y val="-3.3253002465600964E-2"/>
                </c:manualLayout>
              </c:layout>
              <c:tx>
                <c:rich>
                  <a:bodyPr/>
                  <a:lstStyle/>
                  <a:p>
                    <a:fld id="{C1A168D0-17A7-4369-A471-845566D9A193}" type="CELLRANGE">
                      <a:rPr lang="en-US" baseline="0"/>
                      <a:pPr/>
                      <a:t>[CELLRANGE]</a:t>
                    </a:fld>
                    <a:r>
                      <a:rPr lang="en-US" baseline="0"/>
                      <a:t>, </a:t>
                    </a:r>
                    <a:fld id="{4C09B9C0-4DE2-42F5-8431-8E38CBC95EE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ECA7-4E25-8FFD-B9A1D84A6AD7}"/>
                </c:ext>
              </c:extLst>
            </c:dLbl>
            <c:dLbl>
              <c:idx val="19"/>
              <c:layout>
                <c:manualLayout>
                  <c:x val="-0.17740757845152058"/>
                  <c:y val="-1.4082876004135884E-2"/>
                </c:manualLayout>
              </c:layout>
              <c:tx>
                <c:rich>
                  <a:bodyPr/>
                  <a:lstStyle/>
                  <a:p>
                    <a:fld id="{6A398B34-C649-47AA-828A-727A05B9BD92}" type="CELLRANGE">
                      <a:rPr lang="en-US" baseline="0"/>
                      <a:pPr/>
                      <a:t>[CELLRANGE]</a:t>
                    </a:fld>
                    <a:r>
                      <a:rPr lang="en-US" baseline="0"/>
                      <a:t>, </a:t>
                    </a:r>
                    <a:fld id="{9E71594E-D733-41E0-848E-17C4D59CE75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ECA7-4E25-8FFD-B9A1D84A6AD7}"/>
                </c:ext>
              </c:extLst>
            </c:dLbl>
            <c:dLbl>
              <c:idx val="20"/>
              <c:layout>
                <c:manualLayout>
                  <c:x val="-0.23536137345001962"/>
                  <c:y val="7.2788356000954346E-2"/>
                </c:manualLayout>
              </c:layout>
              <c:tx>
                <c:rich>
                  <a:bodyPr/>
                  <a:lstStyle/>
                  <a:p>
                    <a:fld id="{E9D4C25B-5C5D-48CE-8E3F-78444C71E11C}" type="CELLRANGE">
                      <a:rPr lang="en-US" baseline="0"/>
                      <a:pPr/>
                      <a:t>[CELLRANGE]</a:t>
                    </a:fld>
                    <a:r>
                      <a:rPr lang="en-US" baseline="0"/>
                      <a:t>, </a:t>
                    </a:r>
                    <a:fld id="{62E44B2A-0F15-45A4-943D-6351DE1CA1A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ECA7-4E25-8FFD-B9A1D84A6AD7}"/>
                </c:ext>
              </c:extLst>
            </c:dLbl>
            <c:dLbl>
              <c:idx val="21"/>
              <c:layout>
                <c:manualLayout>
                  <c:x val="-0.1158357771260997"/>
                  <c:y val="-9.6161616161616156E-2"/>
                </c:manualLayout>
              </c:layout>
              <c:tx>
                <c:rich>
                  <a:bodyPr/>
                  <a:lstStyle/>
                  <a:p>
                    <a:fld id="{320B6E78-08C9-493B-AF81-F878E251B9E2}" type="CELLRANGE">
                      <a:rPr lang="en-US" baseline="0"/>
                      <a:pPr/>
                      <a:t>[CELLRANGE]</a:t>
                    </a:fld>
                    <a:r>
                      <a:rPr lang="en-US" baseline="0"/>
                      <a:t>, </a:t>
                    </a:r>
                    <a:fld id="{55E9FDD8-EC7E-418C-B10D-3F8B9A64007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ECA7-4E25-8FFD-B9A1D84A6AD7}"/>
                </c:ext>
              </c:extLst>
            </c:dLbl>
            <c:dLbl>
              <c:idx val="22"/>
              <c:layout>
                <c:manualLayout>
                  <c:x val="-0.16715542521994128"/>
                  <c:y val="-3.7967072297780957E-2"/>
                </c:manualLayout>
              </c:layout>
              <c:tx>
                <c:rich>
                  <a:bodyPr/>
                  <a:lstStyle/>
                  <a:p>
                    <a:fld id="{4DC1B184-C198-4EA2-A7C2-4D981F779E91}" type="CELLRANGE">
                      <a:rPr lang="en-US" baseline="0"/>
                      <a:pPr/>
                      <a:t>[CELLRANGE]</a:t>
                    </a:fld>
                    <a:r>
                      <a:rPr lang="en-US" baseline="0"/>
                      <a:t>, </a:t>
                    </a:r>
                    <a:fld id="{18CEFF28-3FE0-4713-A27B-7A94AFD254E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ECA7-4E25-8FFD-B9A1D84A6AD7}"/>
                </c:ext>
              </c:extLst>
            </c:dLbl>
            <c:dLbl>
              <c:idx val="23"/>
              <c:layout>
                <c:manualLayout>
                  <c:x val="-0.14369074283603112"/>
                  <c:y val="2.1098703571144479E-2"/>
                </c:manualLayout>
              </c:layout>
              <c:tx>
                <c:rich>
                  <a:bodyPr/>
                  <a:lstStyle/>
                  <a:p>
                    <a:fld id="{8BD4C84D-E214-4F5C-8228-DDDC3A4B15AD}" type="CELLRANGE">
                      <a:rPr lang="en-US" baseline="0"/>
                      <a:pPr/>
                      <a:t>[CELLRANGE]</a:t>
                    </a:fld>
                    <a:r>
                      <a:rPr lang="en-US" baseline="0"/>
                      <a:t>, </a:t>
                    </a:r>
                    <a:fld id="{5B8BDBFD-C9E8-4B30-B5D7-12C0656F78F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ECA7-4E25-8FFD-B9A1D84A6AD7}"/>
                </c:ext>
              </c:extLst>
            </c:dLbl>
            <c:dLbl>
              <c:idx val="24"/>
              <c:layout>
                <c:manualLayout>
                  <c:x val="-8.7912087912087919E-2"/>
                  <c:y val="-5.54854937009467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ECA7-4E25-8FFD-B9A1D84A6AD7}"/>
                </c:ext>
              </c:extLst>
            </c:dLbl>
            <c:dLbl>
              <c:idx val="25"/>
              <c:layout>
                <c:manualLayout>
                  <c:x val="-2.8571428571428571E-2"/>
                  <c:y val="0.10592685161089824"/>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ECA7-4E25-8FFD-B9A1D84A6AD7}"/>
                </c:ext>
              </c:extLst>
            </c:dLbl>
            <c:dLbl>
              <c:idx val="27"/>
              <c:layout>
                <c:manualLayout>
                  <c:x val="1.5384615384615385E-2"/>
                  <c:y val="9.0794444237912893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ECA7-4E25-8FFD-B9A1D84A6AD7}"/>
                </c:ext>
              </c:extLst>
            </c:dLbl>
            <c:dLbl>
              <c:idx val="28"/>
              <c:layout>
                <c:manualLayout>
                  <c:x val="-7.4725274725274723E-2"/>
                  <c:y val="7.868851833952440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ECA7-4E25-8FFD-B9A1D84A6AD7}"/>
                </c:ext>
              </c:extLst>
            </c:dLbl>
            <c:dLbl>
              <c:idx val="29"/>
              <c:layout>
                <c:manualLayout>
                  <c:x val="6.5934065934064858E-3"/>
                  <c:y val="3.732660485336412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ECA7-4E25-8FFD-B9A1D84A6AD7}"/>
                </c:ext>
              </c:extLst>
            </c:dLbl>
            <c:dLbl>
              <c:idx val="30"/>
              <c:layout>
                <c:manualLayout>
                  <c:x val="-6.0073260073260075E-2"/>
                  <c:y val="6.254728380834000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ECA7-4E25-8FFD-B9A1D84A6AD7}"/>
                </c:ext>
              </c:extLst>
            </c:dLbl>
            <c:dLbl>
              <c:idx val="31"/>
              <c:layout>
                <c:manualLayout>
                  <c:x val="-0.10842490842490853"/>
                  <c:y val="0.16847413541923831"/>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ECA7-4E25-8FFD-B9A1D84A6AD7}"/>
                </c:ext>
              </c:extLst>
            </c:dLbl>
            <c:dLbl>
              <c:idx val="32"/>
              <c:layout>
                <c:manualLayout>
                  <c:x val="-5.8608058608058664E-2"/>
                  <c:y val="0.11298864171829154"/>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ECA7-4E25-8FFD-B9A1D84A6AD7}"/>
                </c:ext>
              </c:extLst>
            </c:dLbl>
            <c:dLbl>
              <c:idx val="33"/>
              <c:layout>
                <c:manualLayout>
                  <c:x val="-0.13626373626373625"/>
                  <c:y val="2.824716042957290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ECA7-4E25-8FFD-B9A1D84A6AD7}"/>
                </c:ext>
              </c:extLst>
            </c:dLbl>
            <c:dLbl>
              <c:idx val="34"/>
              <c:layout>
                <c:manualLayout>
                  <c:x val="1.391941391941392E-2"/>
                  <c:y val="-9.4829752870709036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ECA7-4E25-8FFD-B9A1D84A6AD7}"/>
                </c:ext>
              </c:extLst>
            </c:dLbl>
            <c:dLbl>
              <c:idx val="35"/>
              <c:layout>
                <c:manualLayout>
                  <c:x val="1.9047619047618942E-2"/>
                  <c:y val="-2.824716042957290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ECA7-4E25-8FFD-B9A1D84A6AD7}"/>
                </c:ext>
              </c:extLst>
            </c:dLbl>
            <c:dLbl>
              <c:idx val="36"/>
              <c:layout>
                <c:manualLayout>
                  <c:x val="-5.8608058608058608E-3"/>
                  <c:y val="5.6494320859145804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ECA7-4E25-8FFD-B9A1D84A6AD7}"/>
                </c:ext>
              </c:extLst>
            </c:dLbl>
            <c:dLbl>
              <c:idx val="37"/>
              <c:layout>
                <c:manualLayout>
                  <c:x val="-9.0842490842490839E-2"/>
                  <c:y val="3.228246906236899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ECA7-4E25-8FFD-B9A1D84A6AD7}"/>
                </c:ext>
              </c:extLst>
            </c:dLbl>
            <c:dLbl>
              <c:idx val="38"/>
              <c:layout>
                <c:manualLayout>
                  <c:x val="-0.11648351648351649"/>
                  <c:y val="-2.622950611317483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ECA7-4E25-8FFD-B9A1D84A6AD7}"/>
                </c:ext>
              </c:extLst>
            </c:dLbl>
            <c:dLbl>
              <c:idx val="39"/>
              <c:layout>
                <c:manualLayout>
                  <c:x val="-8.7912087912087919E-2"/>
                  <c:y val="1.71500616893835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ECA7-4E25-8FFD-B9A1D84A6AD7}"/>
                </c:ext>
              </c:extLst>
            </c:dLbl>
            <c:dLbl>
              <c:idx val="40"/>
              <c:layout>
                <c:manualLayout>
                  <c:x val="-0.10476190476190476"/>
                  <c:y val="-4.4388394960757416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ECA7-4E25-8FFD-B9A1D84A6AD7}"/>
                </c:ext>
              </c:extLst>
            </c:dLbl>
            <c:dLbl>
              <c:idx val="41"/>
              <c:layout>
                <c:manualLayout>
                  <c:x val="3.6630036630036632E-2"/>
                  <c:y val="-1.2105925898388386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ECA7-4E25-8FFD-B9A1D84A6AD7}"/>
                </c:ext>
              </c:extLst>
            </c:dLbl>
            <c:dLbl>
              <c:idx val="42"/>
              <c:layout>
                <c:manualLayout>
                  <c:x val="-9.5970695970696074E-2"/>
                  <c:y val="-0.14224462930606355"/>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ECA7-4E25-8FFD-B9A1D84A6AD7}"/>
                </c:ext>
              </c:extLst>
            </c:dLbl>
            <c:dLbl>
              <c:idx val="43"/>
              <c:layout>
                <c:manualLayout>
                  <c:x val="-0.12307692307692313"/>
                  <c:y val="-1.4123580214786526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ECA7-4E25-8FFD-B9A1D84A6AD7}"/>
                </c:ext>
              </c:extLst>
            </c:dLbl>
            <c:dLbl>
              <c:idx val="44"/>
              <c:layout>
                <c:manualLayout>
                  <c:x val="8.7912087912086836E-3"/>
                  <c:y val="1.6141234531184514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ECA7-4E25-8FFD-B9A1D84A6AD7}"/>
                </c:ext>
              </c:extLst>
            </c:dLbl>
            <c:dLbl>
              <c:idx val="45"/>
              <c:layout>
                <c:manualLayout>
                  <c:x val="-7.9853479853479847E-2"/>
                  <c:y val="-4.337956780255842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ECA7-4E25-8FFD-B9A1D84A6AD7}"/>
                </c:ext>
              </c:extLst>
            </c:dLbl>
            <c:dLbl>
              <c:idx val="47"/>
              <c:layout>
                <c:manualLayout>
                  <c:x val="-0.11135531135531136"/>
                  <c:y val="3.0264814745970966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ECA7-4E25-8FFD-B9A1D84A6AD7}"/>
                </c:ext>
              </c:extLst>
            </c:dLbl>
            <c:dLbl>
              <c:idx val="48"/>
              <c:layout>
                <c:manualLayout>
                  <c:x val="3.3699633699633698E-2"/>
                  <c:y val="-8.070617265592257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ECA7-4E25-8FFD-B9A1D84A6AD7}"/>
                </c:ext>
              </c:extLst>
            </c:dLbl>
            <c:dLbl>
              <c:idx val="49"/>
              <c:layout>
                <c:manualLayout>
                  <c:x val="-0.11868131868131868"/>
                  <c:y val="-2.8247160429572975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ECA7-4E25-8FFD-B9A1D84A6AD7}"/>
                </c:ext>
              </c:extLst>
            </c:dLbl>
            <c:dLbl>
              <c:idx val="50"/>
              <c:layout>
                <c:manualLayout>
                  <c:x val="-9.4505494505494503E-2"/>
                  <c:y val="9.07944442379129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2-ECA7-4E25-8FFD-B9A1D84A6AD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PEP'!$T$16:$T$39</c:f>
              <c:numCache>
                <c:formatCode>General</c:formatCode>
                <c:ptCount val="24"/>
                <c:pt idx="0">
                  <c:v>75</c:v>
                </c:pt>
                <c:pt idx="1">
                  <c:v>57.5</c:v>
                </c:pt>
                <c:pt idx="2">
                  <c:v>40</c:v>
                </c:pt>
                <c:pt idx="3">
                  <c:v>60</c:v>
                </c:pt>
                <c:pt idx="4">
                  <c:v>45</c:v>
                </c:pt>
                <c:pt idx="5">
                  <c:v>60</c:v>
                </c:pt>
                <c:pt idx="6">
                  <c:v>55</c:v>
                </c:pt>
                <c:pt idx="7">
                  <c:v>60</c:v>
                </c:pt>
                <c:pt idx="8">
                  <c:v>50</c:v>
                </c:pt>
                <c:pt idx="9">
                  <c:v>40</c:v>
                </c:pt>
                <c:pt idx="10">
                  <c:v>60</c:v>
                </c:pt>
                <c:pt idx="11">
                  <c:v>45</c:v>
                </c:pt>
                <c:pt idx="12">
                  <c:v>50</c:v>
                </c:pt>
                <c:pt idx="13">
                  <c:v>75</c:v>
                </c:pt>
                <c:pt idx="14">
                  <c:v>30</c:v>
                </c:pt>
                <c:pt idx="15">
                  <c:v>25</c:v>
                </c:pt>
                <c:pt idx="16">
                  <c:v>30</c:v>
                </c:pt>
                <c:pt idx="17">
                  <c:v>30</c:v>
                </c:pt>
                <c:pt idx="18">
                  <c:v>40</c:v>
                </c:pt>
                <c:pt idx="19">
                  <c:v>55</c:v>
                </c:pt>
                <c:pt idx="20">
                  <c:v>60</c:v>
                </c:pt>
                <c:pt idx="21">
                  <c:v>50</c:v>
                </c:pt>
                <c:pt idx="22">
                  <c:v>60</c:v>
                </c:pt>
                <c:pt idx="23">
                  <c:v>40</c:v>
                </c:pt>
              </c:numCache>
            </c:numRef>
          </c:xVal>
          <c:yVal>
            <c:numRef>
              <c:f>'Stratified Scenario Model PEP'!$D$16:$D$39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bubbleSize>
            <c:numRef>
              <c:f>'Stratified Scenario Model PEP'!$P$16:$P$39</c:f>
              <c:numCache>
                <c:formatCode>General</c:formatCode>
                <c:ptCount val="24"/>
                <c:pt idx="0">
                  <c:v>0.12115081512150368</c:v>
                </c:pt>
                <c:pt idx="1">
                  <c:v>0.18202938955683337</c:v>
                </c:pt>
                <c:pt idx="2">
                  <c:v>6.1197948921201915E-2</c:v>
                </c:pt>
                <c:pt idx="3">
                  <c:v>6.8387827775979279E-2</c:v>
                </c:pt>
                <c:pt idx="4">
                  <c:v>1.2825236833034197E-2</c:v>
                </c:pt>
                <c:pt idx="5">
                  <c:v>0.18405482709359761</c:v>
                </c:pt>
                <c:pt idx="6">
                  <c:v>0.1271311738127979</c:v>
                </c:pt>
                <c:pt idx="7">
                  <c:v>0.10392032880177048</c:v>
                </c:pt>
                <c:pt idx="8">
                  <c:v>4.013947760122704E-2</c:v>
                </c:pt>
                <c:pt idx="9">
                  <c:v>8.1635667961767439E-2</c:v>
                </c:pt>
                <c:pt idx="10">
                  <c:v>0.11806313583373357</c:v>
                </c:pt>
                <c:pt idx="11">
                  <c:v>2.8538586133026803E-2</c:v>
                </c:pt>
                <c:pt idx="12">
                  <c:v>5.9627660080480219E-2</c:v>
                </c:pt>
                <c:pt idx="13">
                  <c:v>0.13846348741624909</c:v>
                </c:pt>
                <c:pt idx="14">
                  <c:v>6.0386066734675684E-2</c:v>
                </c:pt>
                <c:pt idx="15">
                  <c:v>9.8743484224965705E-3</c:v>
                </c:pt>
                <c:pt idx="16">
                  <c:v>4.5893076340463315E-2</c:v>
                </c:pt>
                <c:pt idx="17">
                  <c:v>5.5637933151368044E-2</c:v>
                </c:pt>
                <c:pt idx="18">
                  <c:v>8.6748302990538442E-2</c:v>
                </c:pt>
                <c:pt idx="19">
                  <c:v>0.13825596986965866</c:v>
                </c:pt>
                <c:pt idx="20">
                  <c:v>0.10288880094974277</c:v>
                </c:pt>
                <c:pt idx="21">
                  <c:v>6.0691821186053131E-2</c:v>
                </c:pt>
                <c:pt idx="22">
                  <c:v>6.227159771963163E-2</c:v>
                </c:pt>
                <c:pt idx="23">
                  <c:v>6.5349706353443671E-2</c:v>
                </c:pt>
              </c:numCache>
            </c:numRef>
          </c:bubbleSize>
          <c:bubble3D val="0"/>
          <c:extLst>
            <c:ext xmlns:c15="http://schemas.microsoft.com/office/drawing/2012/chart" uri="{02D57815-91ED-43cb-92C2-25804820EDAC}">
              <c15:datalabelsRange>
                <c15:f>'Stratified Scenario Model PEP'!$A$16:$A$39</c15:f>
                <c15:dlblRange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15:dlblRangeCache>
              </c15:datalabelsRange>
            </c:ext>
            <c:ext xmlns:c16="http://schemas.microsoft.com/office/drawing/2014/chart" uri="{C3380CC4-5D6E-409C-BE32-E72D297353CC}">
              <c16:uniqueId val="{00000034-ECA7-4E25-8FFD-B9A1D84A6AD7}"/>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ax val="5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5256796746560528"/>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Kerry U.S. Locations, Medium </a:t>
            </a:r>
            <a:r>
              <a:rPr lang="en-US" sz="1400" b="0" i="0" u="none" strike="noStrike" kern="1200" spc="0" baseline="0">
                <a:solidFill>
                  <a:sysClr val="windowText" lastClr="000000">
                    <a:lumMod val="65000"/>
                    <a:lumOff val="35000"/>
                  </a:sysClr>
                </a:solidFill>
                <a:latin typeface="+mn-lt"/>
                <a:ea typeface="+mn-ea"/>
                <a:cs typeface="+mn-cs"/>
              </a:rPr>
              <a:t>Risk</a:t>
            </a:r>
            <a:r>
              <a:rPr lang="en-US" sz="1400" b="0"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 Kerry'!$P$15</c:f>
              <c:strCache>
                <c:ptCount val="1"/>
                <c:pt idx="0">
                  <c:v>Test Positive Rate Current</c:v>
                </c:pt>
              </c:strCache>
            </c:strRef>
          </c:tx>
          <c:spPr>
            <a:noFill/>
            <a:ln w="19050">
              <a:solidFill>
                <a:schemeClr val="accent1">
                  <a:lumMod val="75000"/>
                </a:schemeClr>
              </a:solidFill>
            </a:ln>
            <a:effectLst/>
          </c:spPr>
          <c:invertIfNegative val="0"/>
          <c:dLbls>
            <c:dLbl>
              <c:idx val="0"/>
              <c:tx>
                <c:rich>
                  <a:bodyPr/>
                  <a:lstStyle/>
                  <a:p>
                    <a:fld id="{8D2135C2-035E-41AE-AABA-A9AFF863DAB1}" type="CELLRANGE">
                      <a:rPr lang="en-US"/>
                      <a:pPr/>
                      <a:t>[CELLRANGE]</a:t>
                    </a:fld>
                    <a:r>
                      <a:rPr lang="en-US" baseline="0"/>
                      <a:t>, </a:t>
                    </a:r>
                    <a:fld id="{F86182CD-1F0B-4CEB-99ED-9C32A24C22C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5BF3-4970-A7A8-051F6588FE1E}"/>
                </c:ext>
              </c:extLst>
            </c:dLbl>
            <c:dLbl>
              <c:idx val="1"/>
              <c:layout>
                <c:manualLayout>
                  <c:x val="4.395604395604288E-3"/>
                  <c:y val="4.7414876435354442E-2"/>
                </c:manualLayout>
              </c:layout>
              <c:tx>
                <c:rich>
                  <a:bodyPr/>
                  <a:lstStyle/>
                  <a:p>
                    <a:fld id="{E49B5C84-5381-4694-BBC6-E948869DC49D}" type="CELLRANGE">
                      <a:rPr lang="en-US" baseline="0"/>
                      <a:pPr/>
                      <a:t>[CELLRANGE]</a:t>
                    </a:fld>
                    <a:r>
                      <a:rPr lang="en-US" baseline="0"/>
                      <a:t>, </a:t>
                    </a:r>
                    <a:fld id="{BC9EDB31-93B6-45EB-861C-2AFD610FDE9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5BF3-4970-A7A8-051F6588FE1E}"/>
                </c:ext>
              </c:extLst>
            </c:dLbl>
            <c:dLbl>
              <c:idx val="2"/>
              <c:layout>
                <c:manualLayout>
                  <c:x val="-0.10402930402930392"/>
                  <c:y val="0.12509456761668"/>
                </c:manualLayout>
              </c:layout>
              <c:tx>
                <c:rich>
                  <a:bodyPr/>
                  <a:lstStyle/>
                  <a:p>
                    <a:fld id="{70F50454-A4AB-4433-BA78-33C70EC25980}" type="CELLRANGE">
                      <a:rPr lang="en-US" baseline="0"/>
                      <a:pPr/>
                      <a:t>[CELLRANGE]</a:t>
                    </a:fld>
                    <a:r>
                      <a:rPr lang="en-US" baseline="0"/>
                      <a:t>, </a:t>
                    </a:r>
                    <a:fld id="{FF80CF13-28F3-4924-A0D6-B71E4292373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5BF3-4970-A7A8-051F6588FE1E}"/>
                </c:ext>
              </c:extLst>
            </c:dLbl>
            <c:dLbl>
              <c:idx val="3"/>
              <c:layout>
                <c:manualLayout>
                  <c:x val="-8.4981684981684985E-2"/>
                  <c:y val="-1.2105925898388386E-2"/>
                </c:manualLayout>
              </c:layout>
              <c:tx>
                <c:rich>
                  <a:bodyPr/>
                  <a:lstStyle/>
                  <a:p>
                    <a:fld id="{5BD4032A-F8F4-4A11-B49D-900BF5F0E644}" type="CELLRANGE">
                      <a:rPr lang="en-US" baseline="0"/>
                      <a:pPr/>
                      <a:t>[CELLRANGE]</a:t>
                    </a:fld>
                    <a:r>
                      <a:rPr lang="en-US" baseline="0"/>
                      <a:t>, </a:t>
                    </a:r>
                    <a:fld id="{A9FF4F51-34E8-42CC-B22C-227F8E3F540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5BF3-4970-A7A8-051F6588FE1E}"/>
                </c:ext>
              </c:extLst>
            </c:dLbl>
            <c:dLbl>
              <c:idx val="4"/>
              <c:layout>
                <c:manualLayout>
                  <c:x val="-8.7912087912087919E-2"/>
                  <c:y val="0.22597728343658322"/>
                </c:manualLayout>
              </c:layout>
              <c:tx>
                <c:rich>
                  <a:bodyPr/>
                  <a:lstStyle/>
                  <a:p>
                    <a:fld id="{830143F1-6FA4-43C6-ACA3-2F4C4E098411}" type="CELLRANGE">
                      <a:rPr lang="en-US" baseline="0"/>
                      <a:pPr/>
                      <a:t>[CELLRANGE]</a:t>
                    </a:fld>
                    <a:r>
                      <a:rPr lang="en-US" baseline="0"/>
                      <a:t>, </a:t>
                    </a:r>
                    <a:fld id="{CE1476F5-E565-479F-86EB-905A4592F92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5BF3-4970-A7A8-051F6588FE1E}"/>
                </c:ext>
              </c:extLst>
            </c:dLbl>
            <c:dLbl>
              <c:idx val="5"/>
              <c:layout>
                <c:manualLayout>
                  <c:x val="5.8608058608057532E-3"/>
                  <c:y val="-6.2547283808340029E-2"/>
                </c:manualLayout>
              </c:layout>
              <c:tx>
                <c:rich>
                  <a:bodyPr/>
                  <a:lstStyle/>
                  <a:p>
                    <a:fld id="{0FC0014F-4BB9-4C8A-AA87-7EE5BEFE365A}" type="CELLRANGE">
                      <a:rPr lang="en-US" baseline="0"/>
                      <a:pPr/>
                      <a:t>[CELLRANGE]</a:t>
                    </a:fld>
                    <a:r>
                      <a:rPr lang="en-US" baseline="0"/>
                      <a:t>, </a:t>
                    </a:r>
                    <a:fld id="{47F92E54-EF07-4493-A27D-754B9D91184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5BF3-4970-A7A8-051F6588FE1E}"/>
                </c:ext>
              </c:extLst>
            </c:dLbl>
            <c:dLbl>
              <c:idx val="6"/>
              <c:layout>
                <c:manualLayout>
                  <c:x val="-8.5218786801209964E-2"/>
                  <c:y val="8.7612980195657358E-2"/>
                </c:manualLayout>
              </c:layout>
              <c:tx>
                <c:rich>
                  <a:bodyPr/>
                  <a:lstStyle/>
                  <a:p>
                    <a:fld id="{D588D625-A7C2-4689-8BA8-48FB2E98DC01}" type="CELLRANGE">
                      <a:rPr lang="en-US" baseline="0"/>
                      <a:pPr/>
                      <a:t>[CELLRANGE]</a:t>
                    </a:fld>
                    <a:r>
                      <a:rPr lang="en-US" baseline="0"/>
                      <a:t>, </a:t>
                    </a:r>
                    <a:fld id="{896A865A-5C7E-46EE-A1F5-7FEB58E3902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5BF3-4970-A7A8-051F6588FE1E}"/>
                </c:ext>
              </c:extLst>
            </c:dLbl>
            <c:dLbl>
              <c:idx val="7"/>
              <c:layout>
                <c:manualLayout>
                  <c:x val="3.3699633699633594E-2"/>
                  <c:y val="4.6406049277155553E-2"/>
                </c:manualLayout>
              </c:layout>
              <c:tx>
                <c:rich>
                  <a:bodyPr/>
                  <a:lstStyle/>
                  <a:p>
                    <a:fld id="{750AE023-4775-487B-9DBB-F102ECBC9679}" type="CELLRANGE">
                      <a:rPr lang="en-US" baseline="0"/>
                      <a:pPr/>
                      <a:t>[CELLRANGE]</a:t>
                    </a:fld>
                    <a:r>
                      <a:rPr lang="en-US" baseline="0"/>
                      <a:t>, </a:t>
                    </a:r>
                    <a:fld id="{D4AB503C-85BC-4B8C-AB6F-0E3FC85AAEB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5BF3-4970-A7A8-051F6588FE1E}"/>
                </c:ext>
              </c:extLst>
            </c:dLbl>
            <c:dLbl>
              <c:idx val="8"/>
              <c:layout>
                <c:manualLayout>
                  <c:x val="-0.16556776556776567"/>
                  <c:y val="-2.6229506113174837E-2"/>
                </c:manualLayout>
              </c:layout>
              <c:tx>
                <c:rich>
                  <a:bodyPr/>
                  <a:lstStyle/>
                  <a:p>
                    <a:fld id="{A39EA1C7-6A09-41D3-86C4-605EFFE391FD}" type="CELLRANGE">
                      <a:rPr lang="en-US" baseline="0"/>
                      <a:pPr/>
                      <a:t>[CELLRANGE]</a:t>
                    </a:fld>
                    <a:r>
                      <a:rPr lang="en-US" baseline="0"/>
                      <a:t>, </a:t>
                    </a:r>
                    <a:fld id="{BD1B460A-D2EB-4AE8-9ABE-B5F1054E665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5BF3-4970-A7A8-051F6588FE1E}"/>
                </c:ext>
              </c:extLst>
            </c:dLbl>
            <c:dLbl>
              <c:idx val="9"/>
              <c:layout>
                <c:manualLayout>
                  <c:x val="-8.7976539589442918E-2"/>
                  <c:y val="-6.3972957925713864E-2"/>
                </c:manualLayout>
              </c:layout>
              <c:tx>
                <c:rich>
                  <a:bodyPr/>
                  <a:lstStyle/>
                  <a:p>
                    <a:fld id="{17C9082F-2D81-4F20-99D5-E65DDD7C0D84}" type="CELLRANGE">
                      <a:rPr lang="en-US" baseline="0"/>
                      <a:pPr/>
                      <a:t>[CELLRANGE]</a:t>
                    </a:fld>
                    <a:r>
                      <a:rPr lang="en-US" baseline="0"/>
                      <a:t>, </a:t>
                    </a:r>
                    <a:fld id="{D558A516-5731-4AD4-98F0-DF9EE949772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5BF3-4970-A7A8-051F6588FE1E}"/>
                </c:ext>
              </c:extLst>
            </c:dLbl>
            <c:dLbl>
              <c:idx val="10"/>
              <c:layout>
                <c:manualLayout>
                  <c:x val="-0.12724801995058535"/>
                  <c:y val="-1.9360534478644715E-3"/>
                </c:manualLayout>
              </c:layout>
              <c:tx>
                <c:rich>
                  <a:bodyPr/>
                  <a:lstStyle/>
                  <a:p>
                    <a:fld id="{9C682EF3-79A2-4D6F-89E7-1171D7685DEC}" type="CELLRANGE">
                      <a:rPr lang="en-US" baseline="0"/>
                      <a:pPr/>
                      <a:t>[CELLRANGE]</a:t>
                    </a:fld>
                    <a:r>
                      <a:rPr lang="en-US" baseline="0"/>
                      <a:t>, </a:t>
                    </a:r>
                    <a:fld id="{430E2141-C7F2-42FB-921C-72BE8CE611F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5BF3-4970-A7A8-051F6588FE1E}"/>
                </c:ext>
              </c:extLst>
            </c:dLbl>
            <c:dLbl>
              <c:idx val="11"/>
              <c:layout>
                <c:manualLayout>
                  <c:x val="-0.11671554252199413"/>
                  <c:y val="-1.5353535353535428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B-5BF3-4970-A7A8-051F6588FE1E}"/>
                </c:ext>
              </c:extLst>
            </c:dLbl>
            <c:dLbl>
              <c:idx val="12"/>
              <c:layout>
                <c:manualLayout>
                  <c:x val="-0.16210460202738589"/>
                  <c:y val="3.6378907182056788E-2"/>
                </c:manualLayout>
              </c:layout>
              <c:tx>
                <c:rich>
                  <a:bodyPr/>
                  <a:lstStyle/>
                  <a:p>
                    <a:fld id="{F52D0D0F-9B7F-4553-B3E3-6BF552CB3E1A}" type="CELLRANGE">
                      <a:rPr lang="en-US" baseline="0"/>
                      <a:pPr/>
                      <a:t>[CELLRANGE]</a:t>
                    </a:fld>
                    <a:r>
                      <a:rPr lang="en-US" baseline="0"/>
                      <a:t>, </a:t>
                    </a:r>
                    <a:fld id="{53C023B3-EE9B-4F37-9DCD-B747C6565CA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5BF3-4970-A7A8-051F6588FE1E}"/>
                </c:ext>
              </c:extLst>
            </c:dLbl>
            <c:dLbl>
              <c:idx val="13"/>
              <c:layout>
                <c:manualLayout>
                  <c:x val="-3.9560439560439718E-2"/>
                  <c:y val="7.5662036864927423E-2"/>
                </c:manualLayout>
              </c:layout>
              <c:tx>
                <c:rich>
                  <a:bodyPr/>
                  <a:lstStyle/>
                  <a:p>
                    <a:fld id="{B7ADFAEB-29B2-4CBB-8DD8-ED80C88038DA}" type="CELLRANGE">
                      <a:rPr lang="en-US" baseline="0"/>
                      <a:pPr/>
                      <a:t>[CELLRANGE]</a:t>
                    </a:fld>
                    <a:r>
                      <a:rPr lang="en-US" baseline="0"/>
                      <a:t>, </a:t>
                    </a:r>
                    <a:fld id="{08F19FA6-7F0E-433B-A349-06EBE9F804B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5BF3-4970-A7A8-051F6588FE1E}"/>
                </c:ext>
              </c:extLst>
            </c:dLbl>
            <c:dLbl>
              <c:idx val="14"/>
              <c:layout>
                <c:manualLayout>
                  <c:x val="-0.15683134366268733"/>
                  <c:y val="-4.348397359420985E-2"/>
                </c:manualLayout>
              </c:layout>
              <c:tx>
                <c:rich>
                  <a:bodyPr/>
                  <a:lstStyle/>
                  <a:p>
                    <a:fld id="{B13C694B-6B40-4C2C-B875-F03F830C3F7E}" type="CELLRANGE">
                      <a:rPr lang="en-US" baseline="0"/>
                      <a:pPr/>
                      <a:t>[CELLRANGE]</a:t>
                    </a:fld>
                    <a:r>
                      <a:rPr lang="en-US" baseline="0"/>
                      <a:t>, </a:t>
                    </a:r>
                    <a:fld id="{42BD3BC7-C489-4CF3-9CAC-4308EDDF377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5BF3-4970-A7A8-051F6588FE1E}"/>
                </c:ext>
              </c:extLst>
            </c:dLbl>
            <c:dLbl>
              <c:idx val="15"/>
              <c:layout>
                <c:manualLayout>
                  <c:x val="-0.10089694506661741"/>
                  <c:y val="-4.1567804024496939E-2"/>
                </c:manualLayout>
              </c:layout>
              <c:tx>
                <c:rich>
                  <a:bodyPr/>
                  <a:lstStyle/>
                  <a:p>
                    <a:fld id="{FCF0B9DA-CF08-4BDA-883F-8A1FB451F7E7}" type="CELLRANGE">
                      <a:rPr lang="en-US" baseline="0"/>
                      <a:pPr/>
                      <a:t>[CELLRANGE]</a:t>
                    </a:fld>
                    <a:r>
                      <a:rPr lang="en-US" baseline="0"/>
                      <a:t>, </a:t>
                    </a:r>
                    <a:fld id="{D0FE4F96-F464-47B1-9B91-D5E60F59AC0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5BF3-4970-A7A8-051F6588FE1E}"/>
                </c:ext>
              </c:extLst>
            </c:dLbl>
            <c:dLbl>
              <c:idx val="16"/>
              <c:layout>
                <c:manualLayout>
                  <c:x val="-7.9119772785000111E-2"/>
                  <c:y val="7.2783265728147611E-2"/>
                </c:manualLayout>
              </c:layout>
              <c:tx>
                <c:rich>
                  <a:bodyPr/>
                  <a:lstStyle/>
                  <a:p>
                    <a:fld id="{A2884A10-F2A7-4712-B224-9138852EC553}" type="CELLRANGE">
                      <a:rPr lang="en-US" baseline="0"/>
                      <a:pPr/>
                      <a:t>[CELLRANGE]</a:t>
                    </a:fld>
                    <a:r>
                      <a:rPr lang="en-US" baseline="0"/>
                      <a:t>, </a:t>
                    </a:r>
                    <a:fld id="{F0FCA742-1FF9-48BC-A1E5-FA05615CED0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5BF3-4970-A7A8-051F6588FE1E}"/>
                </c:ext>
              </c:extLst>
            </c:dLbl>
            <c:dLbl>
              <c:idx val="17"/>
              <c:layout>
                <c:manualLayout>
                  <c:x val="-0.16849816849816859"/>
                  <c:y val="-8.4741481288718778E-2"/>
                </c:manualLayout>
              </c:layout>
              <c:tx>
                <c:rich>
                  <a:bodyPr/>
                  <a:lstStyle/>
                  <a:p>
                    <a:fld id="{A4DED8E0-930C-4643-9B45-6EF64DE5AD21}" type="CELLRANGE">
                      <a:rPr lang="en-US" baseline="0"/>
                      <a:pPr/>
                      <a:t>[CELLRANGE]</a:t>
                    </a:fld>
                    <a:r>
                      <a:rPr lang="en-US" baseline="0"/>
                      <a:t>, </a:t>
                    </a:r>
                    <a:fld id="{3D4E5449-2C48-47EA-B0D6-2E0A40DC129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5BF3-4970-A7A8-051F6588FE1E}"/>
                </c:ext>
              </c:extLst>
            </c:dLbl>
            <c:dLbl>
              <c:idx val="18"/>
              <c:layout>
                <c:manualLayout>
                  <c:x val="-0.12756598240469208"/>
                  <c:y val="-6.5576234788833218E-2"/>
                </c:manualLayout>
              </c:layout>
              <c:tx>
                <c:rich>
                  <a:bodyPr/>
                  <a:lstStyle/>
                  <a:p>
                    <a:fld id="{69224F31-D04F-495D-B265-59D35A103676}" type="CELLRANGE">
                      <a:rPr lang="en-US" baseline="0"/>
                      <a:pPr/>
                      <a:t>[CELLRANGE]</a:t>
                    </a:fld>
                    <a:r>
                      <a:rPr lang="en-US" baseline="0"/>
                      <a:t>, </a:t>
                    </a:r>
                    <a:fld id="{53FC1D25-79C4-425B-8093-E2266A2DCE1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5BF3-4970-A7A8-051F6588FE1E}"/>
                </c:ext>
              </c:extLst>
            </c:dLbl>
            <c:dLbl>
              <c:idx val="19"/>
              <c:layout>
                <c:manualLayout>
                  <c:x val="-0.1008679890087054"/>
                  <c:y val="-5.4082876004135846E-2"/>
                </c:manualLayout>
              </c:layout>
              <c:tx>
                <c:rich>
                  <a:bodyPr/>
                  <a:lstStyle/>
                  <a:p>
                    <a:fld id="{556CDA5E-95BC-4124-9D5B-FF1DBBCA9E68}" type="CELLRANGE">
                      <a:rPr lang="en-US" baseline="0"/>
                      <a:pPr/>
                      <a:t>[CELLRANGE]</a:t>
                    </a:fld>
                    <a:r>
                      <a:rPr lang="en-US" baseline="0"/>
                      <a:t>, </a:t>
                    </a:r>
                    <a:fld id="{20A8CCF7-7303-4191-AE9C-A390A0F9CC6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5BF3-4970-A7A8-051F6588FE1E}"/>
                </c:ext>
              </c:extLst>
            </c:dLbl>
            <c:dLbl>
              <c:idx val="20"/>
              <c:layout>
                <c:manualLayout>
                  <c:x val="-6.4809384164222869E-2"/>
                  <c:y val="-7.8726795514197132E-2"/>
                </c:manualLayout>
              </c:layout>
              <c:tx>
                <c:rich>
                  <a:bodyPr/>
                  <a:lstStyle/>
                  <a:p>
                    <a:fld id="{34550FEB-ACEF-4905-8E98-53B027975F15}" type="CELLRANGE">
                      <a:rPr lang="en-US" baseline="0"/>
                      <a:pPr/>
                      <a:t>[CELLRANGE]</a:t>
                    </a:fld>
                    <a:r>
                      <a:rPr lang="en-US" baseline="0"/>
                      <a:t>, </a:t>
                    </a:r>
                    <a:fld id="{402E1071-0C97-42F7-A7C2-96E4CE00A54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5BF3-4970-A7A8-051F6588FE1E}"/>
                </c:ext>
              </c:extLst>
            </c:dLbl>
            <c:dLbl>
              <c:idx val="21"/>
              <c:tx>
                <c:rich>
                  <a:bodyPr/>
                  <a:lstStyle/>
                  <a:p>
                    <a:fld id="{BF690B75-93CC-4AD7-A37D-018C679D6104}" type="CELLRANGE">
                      <a:rPr lang="en-US"/>
                      <a:pPr/>
                      <a:t>[CELLRANGE]</a:t>
                    </a:fld>
                    <a:r>
                      <a:rPr lang="en-US" baseline="0"/>
                      <a:t>, </a:t>
                    </a:r>
                    <a:fld id="{93C5A81B-882F-4B9B-9273-2EACF754D21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BF3-4970-A7A8-051F6588FE1E}"/>
                </c:ext>
              </c:extLst>
            </c:dLbl>
            <c:dLbl>
              <c:idx val="22"/>
              <c:layout>
                <c:manualLayout>
                  <c:x val="8.0586080586080595E-3"/>
                  <c:y val="-1.00882715819903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6-5BF3-4970-A7A8-051F6588FE1E}"/>
                </c:ext>
              </c:extLst>
            </c:dLbl>
            <c:dLbl>
              <c:idx val="23"/>
              <c:layout>
                <c:manualLayout>
                  <c:x val="-5.8608058608059684E-3"/>
                  <c:y val="8.978561707971387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5BF3-4970-A7A8-051F6588FE1E}"/>
                </c:ext>
              </c:extLst>
            </c:dLbl>
            <c:dLbl>
              <c:idx val="24"/>
              <c:layout>
                <c:manualLayout>
                  <c:x val="-8.7912087912087919E-2"/>
                  <c:y val="-5.54854937009467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5BF3-4970-A7A8-051F6588FE1E}"/>
                </c:ext>
              </c:extLst>
            </c:dLbl>
            <c:dLbl>
              <c:idx val="25"/>
              <c:layout>
                <c:manualLayout>
                  <c:x val="-2.8571428571428571E-2"/>
                  <c:y val="0.10592685161089824"/>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5BF3-4970-A7A8-051F6588FE1E}"/>
                </c:ext>
              </c:extLst>
            </c:dLbl>
            <c:dLbl>
              <c:idx val="26"/>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01-F67A-4DA6-8DE4-4B4260958AA7}"/>
                </c:ext>
              </c:extLst>
            </c:dLbl>
            <c:dLbl>
              <c:idx val="27"/>
              <c:layout>
                <c:manualLayout>
                  <c:x val="1.5384615384615385E-2"/>
                  <c:y val="9.0794444237912893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5BF3-4970-A7A8-051F6588FE1E}"/>
                </c:ext>
              </c:extLst>
            </c:dLbl>
            <c:dLbl>
              <c:idx val="28"/>
              <c:layout>
                <c:manualLayout>
                  <c:x val="-7.4725274725274723E-2"/>
                  <c:y val="7.868851833952440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5BF3-4970-A7A8-051F6588FE1E}"/>
                </c:ext>
              </c:extLst>
            </c:dLbl>
            <c:dLbl>
              <c:idx val="29"/>
              <c:layout>
                <c:manualLayout>
                  <c:x val="6.5934065934064858E-3"/>
                  <c:y val="3.73266048533641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5BF3-4970-A7A8-051F6588FE1E}"/>
                </c:ext>
              </c:extLst>
            </c:dLbl>
            <c:dLbl>
              <c:idx val="30"/>
              <c:layout>
                <c:manualLayout>
                  <c:x val="-6.0073260073260075E-2"/>
                  <c:y val="6.254728380834000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5BF3-4970-A7A8-051F6588FE1E}"/>
                </c:ext>
              </c:extLst>
            </c:dLbl>
            <c:dLbl>
              <c:idx val="31"/>
              <c:layout>
                <c:manualLayout>
                  <c:x val="-0.10842490842490853"/>
                  <c:y val="0.16847413541923831"/>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5BF3-4970-A7A8-051F6588FE1E}"/>
                </c:ext>
              </c:extLst>
            </c:dLbl>
            <c:dLbl>
              <c:idx val="32"/>
              <c:layout>
                <c:manualLayout>
                  <c:x val="-5.8608058608058664E-2"/>
                  <c:y val="0.11298864171829154"/>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5BF3-4970-A7A8-051F6588FE1E}"/>
                </c:ext>
              </c:extLst>
            </c:dLbl>
            <c:dLbl>
              <c:idx val="33"/>
              <c:layout>
                <c:manualLayout>
                  <c:x val="-0.13626373626373625"/>
                  <c:y val="2.824716042957290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5BF3-4970-A7A8-051F6588FE1E}"/>
                </c:ext>
              </c:extLst>
            </c:dLbl>
            <c:dLbl>
              <c:idx val="34"/>
              <c:layout>
                <c:manualLayout>
                  <c:x val="1.391941391941392E-2"/>
                  <c:y val="-9.482975287070903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5BF3-4970-A7A8-051F6588FE1E}"/>
                </c:ext>
              </c:extLst>
            </c:dLbl>
            <c:dLbl>
              <c:idx val="35"/>
              <c:layout>
                <c:manualLayout>
                  <c:x val="1.9047619047618942E-2"/>
                  <c:y val="-2.824716042957290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5BF3-4970-A7A8-051F6588FE1E}"/>
                </c:ext>
              </c:extLst>
            </c:dLbl>
            <c:dLbl>
              <c:idx val="36"/>
              <c:layout>
                <c:manualLayout>
                  <c:x val="-5.8608058608058608E-3"/>
                  <c:y val="5.6494320859145804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5BF3-4970-A7A8-051F6588FE1E}"/>
                </c:ext>
              </c:extLst>
            </c:dLbl>
            <c:dLbl>
              <c:idx val="37"/>
              <c:layout>
                <c:manualLayout>
                  <c:x val="-9.0842490842490839E-2"/>
                  <c:y val="3.228246906236899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5BF3-4970-A7A8-051F6588FE1E}"/>
                </c:ext>
              </c:extLst>
            </c:dLbl>
            <c:dLbl>
              <c:idx val="38"/>
              <c:layout>
                <c:manualLayout>
                  <c:x val="-0.11648351648351649"/>
                  <c:y val="-2.622950611317483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5BF3-4970-A7A8-051F6588FE1E}"/>
                </c:ext>
              </c:extLst>
            </c:dLbl>
            <c:dLbl>
              <c:idx val="39"/>
              <c:layout>
                <c:manualLayout>
                  <c:x val="-8.7912087912087919E-2"/>
                  <c:y val="1.71500616893835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5BF3-4970-A7A8-051F6588FE1E}"/>
                </c:ext>
              </c:extLst>
            </c:dLbl>
            <c:dLbl>
              <c:idx val="40"/>
              <c:layout>
                <c:manualLayout>
                  <c:x val="-0.10476190476190476"/>
                  <c:y val="-4.438839496075741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5BF3-4970-A7A8-051F6588FE1E}"/>
                </c:ext>
              </c:extLst>
            </c:dLbl>
            <c:dLbl>
              <c:idx val="41"/>
              <c:layout>
                <c:manualLayout>
                  <c:x val="3.6630036630036632E-2"/>
                  <c:y val="-1.210592589838838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5BF3-4970-A7A8-051F6588FE1E}"/>
                </c:ext>
              </c:extLst>
            </c:dLbl>
            <c:dLbl>
              <c:idx val="42"/>
              <c:layout>
                <c:manualLayout>
                  <c:x val="-9.5970695970696074E-2"/>
                  <c:y val="-0.14224462930606355"/>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5BF3-4970-A7A8-051F6588FE1E}"/>
                </c:ext>
              </c:extLst>
            </c:dLbl>
            <c:dLbl>
              <c:idx val="43"/>
              <c:layout>
                <c:manualLayout>
                  <c:x val="-0.12307692307692313"/>
                  <c:y val="-1.412358021478652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5BF3-4970-A7A8-051F6588FE1E}"/>
                </c:ext>
              </c:extLst>
            </c:dLbl>
            <c:dLbl>
              <c:idx val="44"/>
              <c:layout>
                <c:manualLayout>
                  <c:x val="8.7912087912086836E-3"/>
                  <c:y val="1.6141234531184514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5BF3-4970-A7A8-051F6588FE1E}"/>
                </c:ext>
              </c:extLst>
            </c:dLbl>
            <c:dLbl>
              <c:idx val="45"/>
              <c:layout>
                <c:manualLayout>
                  <c:x val="-7.9853479853479847E-2"/>
                  <c:y val="-4.337956780255842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5BF3-4970-A7A8-051F6588FE1E}"/>
                </c:ext>
              </c:extLst>
            </c:dLbl>
            <c:dLbl>
              <c:idx val="46"/>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02-F67A-4DA6-8DE4-4B4260958AA7}"/>
                </c:ext>
              </c:extLst>
            </c:dLbl>
            <c:dLbl>
              <c:idx val="47"/>
              <c:layout>
                <c:manualLayout>
                  <c:x val="-0.11135531135531136"/>
                  <c:y val="3.0264814745970966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5BF3-4970-A7A8-051F6588FE1E}"/>
                </c:ext>
              </c:extLst>
            </c:dLbl>
            <c:dLbl>
              <c:idx val="48"/>
              <c:layout>
                <c:manualLayout>
                  <c:x val="3.3699633699633698E-2"/>
                  <c:y val="-8.070617265592257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5BF3-4970-A7A8-051F6588FE1E}"/>
                </c:ext>
              </c:extLst>
            </c:dLbl>
            <c:dLbl>
              <c:idx val="49"/>
              <c:layout>
                <c:manualLayout>
                  <c:x val="-0.11868131868131868"/>
                  <c:y val="-2.8247160429572975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5BF3-4970-A7A8-051F6588FE1E}"/>
                </c:ext>
              </c:extLst>
            </c:dLbl>
            <c:dLbl>
              <c:idx val="50"/>
              <c:layout>
                <c:manualLayout>
                  <c:x val="-9.4505494505494503E-2"/>
                  <c:y val="9.07944442379129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2-5BF3-4970-A7A8-051F6588FE1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Kerry'!$T$16:$T$66</c:f>
              <c:numCache>
                <c:formatCode>0</c:formatCode>
                <c:ptCount val="51"/>
                <c:pt idx="0">
                  <c:v>80</c:v>
                </c:pt>
                <c:pt idx="1">
                  <c:v>75</c:v>
                </c:pt>
                <c:pt idx="2">
                  <c:v>40</c:v>
                </c:pt>
                <c:pt idx="3">
                  <c:v>60</c:v>
                </c:pt>
                <c:pt idx="4">
                  <c:v>55</c:v>
                </c:pt>
                <c:pt idx="5">
                  <c:v>60</c:v>
                </c:pt>
                <c:pt idx="6">
                  <c:v>50</c:v>
                </c:pt>
                <c:pt idx="7">
                  <c:v>40</c:v>
                </c:pt>
                <c:pt idx="8">
                  <c:v>60</c:v>
                </c:pt>
                <c:pt idx="9">
                  <c:v>50</c:v>
                </c:pt>
                <c:pt idx="10">
                  <c:v>25</c:v>
                </c:pt>
                <c:pt idx="11">
                  <c:v>#N/A</c:v>
                </c:pt>
                <c:pt idx="12">
                  <c:v>75</c:v>
                </c:pt>
                <c:pt idx="13">
                  <c:v>85</c:v>
                </c:pt>
                <c:pt idx="14">
                  <c:v>25</c:v>
                </c:pt>
                <c:pt idx="15">
                  <c:v>25</c:v>
                </c:pt>
                <c:pt idx="16">
                  <c:v>30</c:v>
                </c:pt>
                <c:pt idx="17">
                  <c:v>40</c:v>
                </c:pt>
                <c:pt idx="18">
                  <c:v>55</c:v>
                </c:pt>
                <c:pt idx="19">
                  <c:v>50</c:v>
                </c:pt>
                <c:pt idx="20">
                  <c:v>60</c:v>
                </c:pt>
                <c:pt idx="21">
                  <c:v>40</c:v>
                </c:pt>
              </c:numCache>
            </c:numRef>
          </c:xVal>
          <c:yVal>
            <c:numRef>
              <c:f>'Stratified Scenario Model Kerry'!$D$16:$D$66</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4" formatCode="#,##0">
                  <c:v>0</c:v>
                </c:pt>
              </c:numCache>
            </c:numRef>
          </c:yVal>
          <c:bubbleSize>
            <c:numRef>
              <c:f>'Stratified Scenario Model Kerry'!$P$16:$P$66</c:f>
              <c:numCache>
                <c:formatCode>0</c:formatCode>
                <c:ptCount val="51"/>
                <c:pt idx="0">
                  <c:v>0.20584040504884832</c:v>
                </c:pt>
                <c:pt idx="1">
                  <c:v>0.12115081512150368</c:v>
                </c:pt>
                <c:pt idx="2">
                  <c:v>6.1197948921201915E-2</c:v>
                </c:pt>
                <c:pt idx="3">
                  <c:v>0.18405482709359761</c:v>
                </c:pt>
                <c:pt idx="4">
                  <c:v>0.1271311738127979</c:v>
                </c:pt>
                <c:pt idx="5">
                  <c:v>0.10392032880177048</c:v>
                </c:pt>
                <c:pt idx="6">
                  <c:v>4.013947760122704E-2</c:v>
                </c:pt>
                <c:pt idx="7">
                  <c:v>8.1635667961767439E-2</c:v>
                </c:pt>
                <c:pt idx="8">
                  <c:v>0.11806313583373357</c:v>
                </c:pt>
                <c:pt idx="9">
                  <c:v>5.9627660080480219E-2</c:v>
                </c:pt>
                <c:pt idx="10">
                  <c:v>8.2614942528735635E-3</c:v>
                </c:pt>
                <c:pt idx="11">
                  <c:v>-4.818581471201961E-2</c:v>
                </c:pt>
                <c:pt idx="12">
                  <c:v>0.13846348741624909</c:v>
                </c:pt>
                <c:pt idx="13">
                  <c:v>0.23257403189066059</c:v>
                </c:pt>
                <c:pt idx="14">
                  <c:v>1.5503018164314288E-2</c:v>
                </c:pt>
                <c:pt idx="15">
                  <c:v>9.8743484224965705E-3</c:v>
                </c:pt>
                <c:pt idx="16">
                  <c:v>4.5893076340463315E-2</c:v>
                </c:pt>
                <c:pt idx="17">
                  <c:v>8.6748302990538442E-2</c:v>
                </c:pt>
                <c:pt idx="18">
                  <c:v>0.13825596986965866</c:v>
                </c:pt>
                <c:pt idx="19">
                  <c:v>6.0691821186053131E-2</c:v>
                </c:pt>
                <c:pt idx="20">
                  <c:v>6.227159771963163E-2</c:v>
                </c:pt>
                <c:pt idx="21">
                  <c:v>6.5349706353443671E-2</c:v>
                </c:pt>
              </c:numCache>
            </c:numRef>
          </c:bubbleSize>
          <c:bubble3D val="0"/>
          <c:extLst>
            <c:ext xmlns:c15="http://schemas.microsoft.com/office/drawing/2012/chart" uri="{02D57815-91ED-43cb-92C2-25804820EDAC}">
              <c15:datalabelsRange>
                <c15:f>'Stratified Scenario Model Kerry'!$A$16:$A$37</c15:f>
                <c15:dlblRange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15:dlblRangeCache>
              </c15:datalabelsRange>
            </c:ext>
            <c:ext xmlns:c16="http://schemas.microsoft.com/office/drawing/2014/chart" uri="{C3380CC4-5D6E-409C-BE32-E72D297353CC}">
              <c16:uniqueId val="{00000034-5BF3-4970-A7A8-051F6588FE1E}"/>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ax val="5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5256796746560528"/>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Highest </a:t>
            </a:r>
            <a:r>
              <a:rPr lang="en-US" sz="1400" b="0" i="0" u="none" strike="noStrike" kern="1200" spc="0" baseline="0">
                <a:solidFill>
                  <a:sysClr val="windowText" lastClr="000000">
                    <a:lumMod val="65000"/>
                    <a:lumOff val="35000"/>
                  </a:sysClr>
                </a:solidFill>
                <a:latin typeface="+mn-lt"/>
                <a:ea typeface="+mn-ea"/>
                <a:cs typeface="+mn-cs"/>
              </a:rPr>
              <a:t>Risk</a:t>
            </a:r>
            <a:r>
              <a:rPr lang="en-US" sz="1400" b="0"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200" b="0" i="0" baseline="0">
                <a:effectLst/>
              </a:rPr>
              <a:t>Weekly Death Rate by State per 100K Population</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itle>
    <c:autoTitleDeleted val="0"/>
    <c:plotArea>
      <c:layout>
        <c:manualLayout>
          <c:layoutTarget val="inner"/>
          <c:xMode val="edge"/>
          <c:yMode val="edge"/>
          <c:x val="0.10930588588449903"/>
          <c:y val="0.11499864789628569"/>
          <c:w val="0.83554746041360217"/>
          <c:h val="0.74455495470763233"/>
        </c:manualLayout>
      </c:layout>
      <c:bubbleChart>
        <c:varyColors val="0"/>
        <c:ser>
          <c:idx val="0"/>
          <c:order val="0"/>
          <c:tx>
            <c:strRef>
              <c:f>'Stratified Scenario Model'!$Y$15</c:f>
              <c:strCache>
                <c:ptCount val="1"/>
                <c:pt idx="0">
                  <c:v>Weekly Death Rate per 100K Population</c:v>
                </c:pt>
              </c:strCache>
            </c:strRef>
          </c:tx>
          <c:spPr>
            <a:noFill/>
            <a:ln>
              <a:solidFill>
                <a:srgbClr val="FF0000"/>
              </a:solidFill>
            </a:ln>
            <a:effectLst/>
          </c:spPr>
          <c:invertIfNegative val="0"/>
          <c:dLbls>
            <c:dLbl>
              <c:idx val="0"/>
              <c:layout>
                <c:manualLayout>
                  <c:x val="7.3314360265084163E-3"/>
                  <c:y val="3.9394018929451997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EFF96ED6-740A-461C-BFE3-4831F8B8304A}"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0065C4E2-EF25-4011-B0E8-7DF66A7D2C71}"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3528067056134106E-2"/>
                      <c:h val="2.9257138312256414E-2"/>
                    </c:manualLayout>
                  </c15:layout>
                  <c15:dlblFieldTable/>
                  <c15:showDataLabelsRange val="1"/>
                </c:ext>
                <c:ext xmlns:c16="http://schemas.microsoft.com/office/drawing/2014/chart" uri="{C3380CC4-5D6E-409C-BE32-E72D297353CC}">
                  <c16:uniqueId val="{00000000-1660-4FDC-A81E-279579ECD32C}"/>
                </c:ext>
              </c:extLst>
            </c:dLbl>
            <c:dLbl>
              <c:idx val="1"/>
              <c:layout>
                <c:manualLayout>
                  <c:x val="-2.0527859237536656E-2"/>
                  <c:y val="-9.4949494949494992E-2"/>
                </c:manualLayout>
              </c:layout>
              <c:tx>
                <c:rich>
                  <a:bodyPr/>
                  <a:lstStyle/>
                  <a:p>
                    <a:fld id="{5A2ED435-F121-44DD-BAC7-9AF42E5AC58E}" type="CELLRANGE">
                      <a:rPr lang="en-US" baseline="0"/>
                      <a:pPr/>
                      <a:t>[CELLRANGE]</a:t>
                    </a:fld>
                    <a:r>
                      <a:rPr lang="en-US" baseline="0"/>
                      <a:t>, </a:t>
                    </a:r>
                    <a:fld id="{BB7C0A44-68EA-47B7-8F32-C44B42E9D4E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1660-4FDC-A81E-279579ECD32C}"/>
                </c:ext>
              </c:extLst>
            </c:dLbl>
            <c:dLbl>
              <c:idx val="2"/>
              <c:layout>
                <c:manualLayout>
                  <c:x val="4.2521994134897358E-2"/>
                  <c:y val="-9.0908295553964839E-3"/>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0A56C005-527C-40C2-A812-309E69DDCCB8}"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568C1F96-27CC-4E2F-9023-FC44019462B4}"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9709515782667931E-2"/>
                      <c:h val="2.5216734271852378E-2"/>
                    </c:manualLayout>
                  </c15:layout>
                  <c15:dlblFieldTable/>
                  <c15:showDataLabelsRange val="1"/>
                </c:ext>
                <c:ext xmlns:c16="http://schemas.microsoft.com/office/drawing/2014/chart" uri="{C3380CC4-5D6E-409C-BE32-E72D297353CC}">
                  <c16:uniqueId val="{00000002-1660-4FDC-A81E-279579ECD32C}"/>
                </c:ext>
              </c:extLst>
            </c:dLbl>
            <c:dLbl>
              <c:idx val="3"/>
              <c:layout>
                <c:manualLayout>
                  <c:x val="3.2258064516129031E-2"/>
                  <c:y val="1.1111190646623754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FA94EEAB-62D1-4D9A-9DF5-210B436D59F7}"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4AA318F0-5DC1-473B-9537-0B65B33F4324}"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8821206733322559E-2"/>
                      <c:h val="6.1580370635488733E-2"/>
                    </c:manualLayout>
                  </c15:layout>
                  <c15:dlblFieldTable/>
                  <c15:showDataLabelsRange val="1"/>
                </c:ext>
                <c:ext xmlns:c16="http://schemas.microsoft.com/office/drawing/2014/chart" uri="{C3380CC4-5D6E-409C-BE32-E72D297353CC}">
                  <c16:uniqueId val="{00000003-1660-4FDC-A81E-279579ECD32C}"/>
                </c:ext>
              </c:extLst>
            </c:dLbl>
            <c:dLbl>
              <c:idx val="4"/>
              <c:layout>
                <c:manualLayout>
                  <c:x val="2.4926686217008744E-2"/>
                  <c:y val="-3.1313210848643955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787BBE49-0BFD-45D7-B7B8-7C61B8BA41FC}"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F4540DE8-55C4-460A-A288-724C2A055A38}"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9591059182118367E-2"/>
                      <c:h val="4.5418754473872572E-2"/>
                    </c:manualLayout>
                  </c15:layout>
                  <c15:dlblFieldTable/>
                  <c15:showDataLabelsRange val="1"/>
                </c:ext>
                <c:ext xmlns:c16="http://schemas.microsoft.com/office/drawing/2014/chart" uri="{C3380CC4-5D6E-409C-BE32-E72D297353CC}">
                  <c16:uniqueId val="{00000004-1660-4FDC-A81E-279579ECD32C}"/>
                </c:ext>
              </c:extLst>
            </c:dLbl>
            <c:dLbl>
              <c:idx val="5"/>
              <c:layout>
                <c:manualLayout>
                  <c:x val="-7.0381231671554273E-2"/>
                  <c:y val="-4.0403245048914339E-3"/>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6CF5441D-0F76-4CB1-974D-1E542CDA81EC}"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3B258E96-C3D4-4E94-B89F-B83114B52A9F}"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4.0575657514951395E-2"/>
                      <c:h val="3.1277340332458436E-2"/>
                    </c:manualLayout>
                  </c15:layout>
                  <c15:dlblFieldTable/>
                  <c15:showDataLabelsRange val="1"/>
                </c:ext>
                <c:ext xmlns:c16="http://schemas.microsoft.com/office/drawing/2014/chart" uri="{C3380CC4-5D6E-409C-BE32-E72D297353CC}">
                  <c16:uniqueId val="{00000005-1660-4FDC-A81E-279579ECD32C}"/>
                </c:ext>
              </c:extLst>
            </c:dLbl>
            <c:dLbl>
              <c:idx val="6"/>
              <c:tx>
                <c:rich>
                  <a:bodyPr/>
                  <a:lstStyle/>
                  <a:p>
                    <a:fld id="{B2D5046A-6BAD-4407-B5C4-2C9D02BC5465}" type="CELLRANGE">
                      <a:rPr lang="en-US"/>
                      <a:pPr/>
                      <a:t>[CELLRANGE]</a:t>
                    </a:fld>
                    <a:r>
                      <a:rPr lang="en-US" baseline="0"/>
                      <a:t>, </a:t>
                    </a:r>
                    <a:fld id="{DE811F07-A25D-49D8-8FBB-9A1A125CDA3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660-4FDC-A81E-279579ECD32C}"/>
                </c:ext>
              </c:extLst>
            </c:dLbl>
            <c:dLbl>
              <c:idx val="7"/>
              <c:tx>
                <c:rich>
                  <a:bodyPr/>
                  <a:lstStyle/>
                  <a:p>
                    <a:fld id="{F2FC4A3C-48AC-40C4-94AE-0D336D2B2166}" type="CELLRANGE">
                      <a:rPr lang="en-US"/>
                      <a:pPr/>
                      <a:t>[CELLRANGE]</a:t>
                    </a:fld>
                    <a:r>
                      <a:rPr lang="en-US" baseline="0"/>
                      <a:t>, </a:t>
                    </a:r>
                    <a:fld id="{384DB92D-198B-4664-8DCC-5BA1C365B6D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60-4FDC-A81E-279579ECD32C}"/>
                </c:ext>
              </c:extLst>
            </c:dLbl>
            <c:dLbl>
              <c:idx val="8"/>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B513A36B-5F55-42FA-B53F-EE2F09B489BA}"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AFC51125-4CC5-40F4-AA86-B79727EF1938}"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layout>
                    <c:manualLayout>
                      <c:w val="3.6194956935368415E-2"/>
                      <c:h val="2.9828362363795435E-2"/>
                    </c:manualLayout>
                  </c15:layout>
                  <c15:dlblFieldTable/>
                  <c15:showDataLabelsRange val="1"/>
                </c:ext>
                <c:ext xmlns:c16="http://schemas.microsoft.com/office/drawing/2014/chart" uri="{C3380CC4-5D6E-409C-BE32-E72D297353CC}">
                  <c16:uniqueId val="{00000008-1660-4FDC-A81E-279579ECD32C}"/>
                </c:ext>
              </c:extLst>
            </c:dLbl>
            <c:dLbl>
              <c:idx val="9"/>
              <c:layout>
                <c:manualLayout>
                  <c:x val="-4.3988269794721941E-3"/>
                  <c:y val="2.222230175773483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EB765DF2-809E-4BB3-8675-85C140CD6B71}"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65A3C111-8D3A-4479-A568-7BD2B16DDB29}"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6844505507192836E-2"/>
                      <c:h val="3.9358148413266521E-2"/>
                    </c:manualLayout>
                  </c15:layout>
                  <c15:dlblFieldTable/>
                  <c15:showDataLabelsRange val="1"/>
                </c:ext>
                <c:ext xmlns:c16="http://schemas.microsoft.com/office/drawing/2014/chart" uri="{C3380CC4-5D6E-409C-BE32-E72D297353CC}">
                  <c16:uniqueId val="{00000009-1660-4FDC-A81E-279579ECD32C}"/>
                </c:ext>
              </c:extLst>
            </c:dLbl>
            <c:dLbl>
              <c:idx val="10"/>
              <c:layout>
                <c:manualLayout>
                  <c:x val="-1.0752563957506621E-16"/>
                  <c:y val="-7.7777777777777779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11B32F1B-0C7F-4EBB-AF7D-05BFEBA6CDC2}"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1771EA32-107E-40BD-B287-7B96F43447B6}"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4845867873553926E-2"/>
                      <c:h val="5.7539966595084709E-2"/>
                    </c:manualLayout>
                  </c15:layout>
                  <c15:dlblFieldTable/>
                  <c15:showDataLabelsRange val="1"/>
                </c:ext>
                <c:ext xmlns:c16="http://schemas.microsoft.com/office/drawing/2014/chart" uri="{C3380CC4-5D6E-409C-BE32-E72D297353CC}">
                  <c16:uniqueId val="{0000000A-1660-4FDC-A81E-279579ECD32C}"/>
                </c:ext>
              </c:extLst>
            </c:dLbl>
            <c:dLbl>
              <c:idx val="11"/>
              <c:layout>
                <c:manualLayout>
                  <c:x val="1.1730205278592375E-2"/>
                  <c:y val="0"/>
                </c:manualLayout>
              </c:layout>
              <c:tx>
                <c:rich>
                  <a:bodyPr/>
                  <a:lstStyle/>
                  <a:p>
                    <a:fld id="{7F5D8169-EBE7-49ED-853A-3330545251AC}" type="CELLRANGE">
                      <a:rPr lang="en-US" baseline="0"/>
                      <a:pPr/>
                      <a:t>[CELLRANGE]</a:t>
                    </a:fld>
                    <a:r>
                      <a:rPr lang="en-US" baseline="0"/>
                      <a:t>, </a:t>
                    </a:r>
                    <a:fld id="{5F573D7A-0E10-44E5-A784-51FD5FA8F58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1660-4FDC-A81E-279579ECD32C}"/>
                </c:ext>
              </c:extLst>
            </c:dLbl>
            <c:dLbl>
              <c:idx val="12"/>
              <c:layout>
                <c:manualLayout>
                  <c:x val="-8.5043988269794715E-2"/>
                  <c:y val="-1.4141493676926822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8B0EDA35-980C-4CFC-B179-1194F7DA7373}"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E3B200C2-E73E-4F35-9657-FACB629397EC}"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0359526173597801E-2"/>
                      <c:h val="2.7236936292054394E-2"/>
                    </c:manualLayout>
                  </c15:layout>
                  <c15:dlblFieldTable/>
                  <c15:showDataLabelsRange val="1"/>
                </c:ext>
                <c:ext xmlns:c16="http://schemas.microsoft.com/office/drawing/2014/chart" uri="{C3380CC4-5D6E-409C-BE32-E72D297353CC}">
                  <c16:uniqueId val="{0000000C-1660-4FDC-A81E-279579ECD32C}"/>
                </c:ext>
              </c:extLst>
            </c:dLbl>
            <c:dLbl>
              <c:idx val="13"/>
              <c:layout>
                <c:manualLayout>
                  <c:x val="-7.6246334310850442E-2"/>
                  <c:y val="4.8484848484848485E-2"/>
                </c:manualLayout>
              </c:layout>
              <c:tx>
                <c:rich>
                  <a:bodyPr/>
                  <a:lstStyle/>
                  <a:p>
                    <a:fld id="{BEADF9AB-1E99-4B46-9EDE-7D894AA6C672}" type="CELLRANGE">
                      <a:rPr lang="en-US" baseline="0"/>
                      <a:pPr/>
                      <a:t>[CELLRANGE]</a:t>
                    </a:fld>
                    <a:r>
                      <a:rPr lang="en-US" baseline="0"/>
                      <a:t>, </a:t>
                    </a:r>
                    <a:fld id="{DD775DF7-9464-4328-BF7C-0E489F7C9E30}"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1660-4FDC-A81E-279579ECD32C}"/>
                </c:ext>
              </c:extLst>
            </c:dLbl>
            <c:dLbl>
              <c:idx val="14"/>
              <c:layout>
                <c:manualLayout>
                  <c:x val="2.932551319648067E-3"/>
                  <c:y val="1.2121132585699594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9A0E0CF2-EBE5-4E3A-9530-C38E17718AD5}"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19E5B3A5-FA70-493D-AC7E-AD44BCD7FFB4}"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2.8486618791419401E-2"/>
                      <c:h val="2.7236936292054401E-2"/>
                    </c:manualLayout>
                  </c15:layout>
                  <c15:dlblFieldTable/>
                  <c15:showDataLabelsRange val="1"/>
                </c:ext>
                <c:ext xmlns:c16="http://schemas.microsoft.com/office/drawing/2014/chart" uri="{C3380CC4-5D6E-409C-BE32-E72D297353CC}">
                  <c16:uniqueId val="{0000000E-1660-4FDC-A81E-279579ECD32C}"/>
                </c:ext>
              </c:extLst>
            </c:dLbl>
            <c:dLbl>
              <c:idx val="15"/>
              <c:layout>
                <c:manualLayout>
                  <c:x val="3.2258064516128976E-2"/>
                  <c:y val="7.1717171717171638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DB9ED3D6-5E01-43EE-96AF-8C5D8D5AC4AF}"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4A42570A-B353-4728-85A2-B673936DC29A}"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7051862285542754E-2"/>
                      <c:h val="3.7337946393064501E-2"/>
                    </c:manualLayout>
                  </c15:layout>
                  <c15:dlblFieldTable/>
                  <c15:showDataLabelsRange val="1"/>
                </c:ext>
                <c:ext xmlns:c16="http://schemas.microsoft.com/office/drawing/2014/chart" uri="{C3380CC4-5D6E-409C-BE32-E72D297353CC}">
                  <c16:uniqueId val="{0000000F-1660-4FDC-A81E-279579ECD32C}"/>
                </c:ext>
              </c:extLst>
            </c:dLbl>
            <c:dLbl>
              <c:idx val="16"/>
              <c:layout>
                <c:manualLayout>
                  <c:x val="-2.9325513196482014E-3"/>
                  <c:y val="6.0605981070548008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DDFBA50A-FFB5-4978-8FD6-E715DF64CCF4}"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BB136083-A942-4C6E-842B-851226B1414E}"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2114092410003001E-2"/>
                      <c:h val="5.5519764574882682E-2"/>
                    </c:manualLayout>
                  </c15:layout>
                  <c15:dlblFieldTable/>
                  <c15:showDataLabelsRange val="1"/>
                </c:ext>
                <c:ext xmlns:c16="http://schemas.microsoft.com/office/drawing/2014/chart" uri="{C3380CC4-5D6E-409C-BE32-E72D297353CC}">
                  <c16:uniqueId val="{00000010-1660-4FDC-A81E-279579ECD32C}"/>
                </c:ext>
              </c:extLst>
            </c:dLbl>
            <c:dLbl>
              <c:idx val="17"/>
              <c:layout>
                <c:manualLayout>
                  <c:x val="-2.0527916964924838E-2"/>
                  <c:y val="9.3939393939393864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707B8E74-AEC1-4AA1-80BC-E2295E36CD9E}"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253CA24B-4EEE-4D1C-A10A-4DC3F35F96AA}"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2447294894589786E-2"/>
                      <c:h val="2.9257138312256424E-2"/>
                    </c:manualLayout>
                  </c15:layout>
                  <c15:dlblFieldTable/>
                  <c15:showDataLabelsRange val="1"/>
                </c:ext>
                <c:ext xmlns:c16="http://schemas.microsoft.com/office/drawing/2014/chart" uri="{C3380CC4-5D6E-409C-BE32-E72D297353CC}">
                  <c16:uniqueId val="{00000011-1660-4FDC-A81E-279579ECD32C}"/>
                </c:ext>
              </c:extLst>
            </c:dLbl>
            <c:dLbl>
              <c:idx val="18"/>
              <c:layout>
                <c:manualLayout>
                  <c:x val="-6.4516129032258063E-2"/>
                  <c:y val="-7.575757575757576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E0DE03A8-A8C8-4633-803E-E11D6F312BA0}"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F9E292FD-5703-4FC9-A5A3-7CD0D8C2DF06}"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8258595608100306E-2"/>
                      <c:h val="5.7539966595084709E-2"/>
                    </c:manualLayout>
                  </c15:layout>
                  <c15:dlblFieldTable/>
                  <c15:showDataLabelsRange val="1"/>
                </c:ext>
                <c:ext xmlns:c16="http://schemas.microsoft.com/office/drawing/2014/chart" uri="{C3380CC4-5D6E-409C-BE32-E72D297353CC}">
                  <c16:uniqueId val="{00000012-1660-4FDC-A81E-279579ECD32C}"/>
                </c:ext>
              </c:extLst>
            </c:dLbl>
            <c:dLbl>
              <c:idx val="19"/>
              <c:tx>
                <c:rich>
                  <a:bodyPr/>
                  <a:lstStyle/>
                  <a:p>
                    <a:fld id="{18925BAB-8610-4418-AF7E-D949D7696DA8}" type="CELLRANGE">
                      <a:rPr lang="en-US"/>
                      <a:pPr/>
                      <a:t>[CELLRANGE]</a:t>
                    </a:fld>
                    <a:r>
                      <a:rPr lang="en-US" baseline="0"/>
                      <a:t>, </a:t>
                    </a:r>
                    <a:fld id="{E9EDC505-9D82-4492-968A-3A2C759E5F4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660-4FDC-A81E-279579ECD32C}"/>
                </c:ext>
              </c:extLst>
            </c:dLbl>
            <c:dLbl>
              <c:idx val="20"/>
              <c:layout>
                <c:manualLayout>
                  <c:x val="5.8651026392961608E-3"/>
                  <c:y val="-5.2525332060765172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29230188-BF03-44C7-A92B-C58DF0C22B0A}"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F9D0C132-6173-40B1-AEF4-EB47B5F617F8}"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7932782229200823E-2"/>
                      <c:h val="3.5317744372862475E-2"/>
                    </c:manualLayout>
                  </c15:layout>
                  <c15:dlblFieldTable/>
                  <c15:showDataLabelsRange val="1"/>
                </c:ext>
                <c:ext xmlns:c16="http://schemas.microsoft.com/office/drawing/2014/chart" uri="{C3380CC4-5D6E-409C-BE32-E72D297353CC}">
                  <c16:uniqueId val="{00000014-1660-4FDC-A81E-279579ECD32C}"/>
                </c:ext>
              </c:extLst>
            </c:dLbl>
            <c:dLbl>
              <c:idx val="21"/>
              <c:tx>
                <c:rich>
                  <a:bodyPr/>
                  <a:lstStyle/>
                  <a:p>
                    <a:fld id="{90EC6490-52AC-456A-8B0C-2B986CFC4099}" type="CELLRANGE">
                      <a:rPr lang="en-US"/>
                      <a:pPr/>
                      <a:t>[CELLRANGE]</a:t>
                    </a:fld>
                    <a:r>
                      <a:rPr lang="en-US" baseline="0"/>
                      <a:t>, </a:t>
                    </a:r>
                    <a:fld id="{AC535B68-C6AA-4860-8C6F-05A150AE852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660-4FDC-A81E-279579ECD32C}"/>
                </c:ext>
              </c:extLst>
            </c:dLbl>
            <c:dLbl>
              <c:idx val="22"/>
              <c:tx>
                <c:rich>
                  <a:bodyPr/>
                  <a:lstStyle/>
                  <a:p>
                    <a:fld id="{8931269F-31A3-4C87-AC68-DC7E0876991D}" type="CELLRANGE">
                      <a:rPr lang="en-US"/>
                      <a:pPr/>
                      <a:t>[CELLRANGE]</a:t>
                    </a:fld>
                    <a:r>
                      <a:rPr lang="en-US" baseline="0"/>
                      <a:t>, </a:t>
                    </a:r>
                    <a:fld id="{72AC9BAF-54F4-48B2-80C9-5540E72CBA6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660-4FDC-A81E-279579ECD32C}"/>
                </c:ext>
              </c:extLst>
            </c:dLbl>
            <c:dLbl>
              <c:idx val="23"/>
              <c:layout>
                <c:manualLayout>
                  <c:x val="2.932609047036276E-3"/>
                  <c:y val="-1.0101010101010101E-3"/>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8295541136536812E-2"/>
                      <c:h val="2.9257138312256424E-2"/>
                    </c:manualLayout>
                  </c15:layout>
                  <c15:showDataLabelsRange val="1"/>
                </c:ext>
                <c:ext xmlns:c16="http://schemas.microsoft.com/office/drawing/2014/chart" uri="{C3380CC4-5D6E-409C-BE32-E72D297353CC}">
                  <c16:uniqueId val="{00000017-1660-4FDC-A81E-279579ECD32C}"/>
                </c:ext>
              </c:extLst>
            </c:dLbl>
            <c:dLbl>
              <c:idx val="24"/>
              <c:layout>
                <c:manualLayout>
                  <c:x val="2.3460410557184751E-2"/>
                  <c:y val="4.8484848484848485E-2"/>
                </c:manualLayout>
              </c:layout>
              <c:tx>
                <c:rich>
                  <a:bodyPr/>
                  <a:lstStyle/>
                  <a:p>
                    <a:fld id="{2B7BB3F8-49E3-4E9D-843C-91E0E999356B}" type="CELLRANGE">
                      <a:rPr lang="en-US" baseline="0"/>
                      <a:pPr/>
                      <a:t>[CELLRANGE]</a:t>
                    </a:fld>
                    <a:r>
                      <a:rPr lang="en-US" baseline="0"/>
                      <a:t>, </a:t>
                    </a:r>
                    <a:fld id="{4F039CBF-B86A-4653-BF72-4D65C895D93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1660-4FDC-A81E-279579ECD32C}"/>
                </c:ext>
              </c:extLst>
            </c:dLbl>
            <c:dLbl>
              <c:idx val="25"/>
              <c:layout>
                <c:manualLayout>
                  <c:x val="-4.3988269794721412E-3"/>
                  <c:y val="-7.8787878787878782E-2"/>
                </c:manualLayout>
              </c:layout>
              <c:tx>
                <c:rich>
                  <a:bodyPr/>
                  <a:lstStyle/>
                  <a:p>
                    <a:fld id="{C02BB478-A437-43A2-ADD4-92A8E638579C}" type="CELLRANGE">
                      <a:rPr lang="en-US" baseline="0"/>
                      <a:pPr/>
                      <a:t>[CELLRANGE]</a:t>
                    </a:fld>
                    <a:r>
                      <a:rPr lang="en-US" baseline="0"/>
                      <a:t>, </a:t>
                    </a:r>
                    <a:fld id="{10E3F1C2-76AD-4A9D-882A-09178E28A18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9-1660-4FDC-A81E-279579ECD32C}"/>
                </c:ext>
              </c:extLst>
            </c:dLbl>
            <c:dLbl>
              <c:idx val="26"/>
              <c:layout>
                <c:manualLayout>
                  <c:x val="-5.8651026392962016E-3"/>
                  <c:y val="-6.262618309075009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523CC33B-5237-475B-ACB2-E2E1226C0039}"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6D833172-878F-4878-8C59-FB975F08B06C}"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5.7424781213198793E-2"/>
                      <c:h val="1.3095522150640254E-2"/>
                    </c:manualLayout>
                  </c15:layout>
                  <c15:dlblFieldTable/>
                  <c15:showDataLabelsRange val="1"/>
                </c:ext>
                <c:ext xmlns:c16="http://schemas.microsoft.com/office/drawing/2014/chart" uri="{C3380CC4-5D6E-409C-BE32-E72D297353CC}">
                  <c16:uniqueId val="{0000001A-1660-4FDC-A81E-279579ECD32C}"/>
                </c:ext>
              </c:extLst>
            </c:dLbl>
            <c:dLbl>
              <c:idx val="27"/>
              <c:tx>
                <c:rich>
                  <a:bodyPr/>
                  <a:lstStyle/>
                  <a:p>
                    <a:fld id="{75A427D1-6B9D-4A12-B229-DD4FE2C1CA54}" type="CELLRANGE">
                      <a:rPr lang="en-US"/>
                      <a:pPr/>
                      <a:t>[CELLRANGE]</a:t>
                    </a:fld>
                    <a:r>
                      <a:rPr lang="en-US" baseline="0"/>
                      <a:t>, </a:t>
                    </a:r>
                    <a:fld id="{355A921A-1C14-4024-8411-C970E13B1F0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660-4FDC-A81E-279579ECD32C}"/>
                </c:ext>
              </c:extLst>
            </c:dLbl>
            <c:dLbl>
              <c:idx val="28"/>
              <c:layout>
                <c:manualLayout>
                  <c:x val="-8.5043988269794743E-2"/>
                  <c:y val="3.3333333333333326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FE735958-D707-461D-901B-E76D04375C64}"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08C9259E-BE49-4937-965D-83B1F1D39944}"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5452813632899996E-2"/>
                      <c:h val="4.1378350433468533E-2"/>
                    </c:manualLayout>
                  </c15:layout>
                  <c15:dlblFieldTable/>
                  <c15:showDataLabelsRange val="1"/>
                </c:ext>
                <c:ext xmlns:c16="http://schemas.microsoft.com/office/drawing/2014/chart" uri="{C3380CC4-5D6E-409C-BE32-E72D297353CC}">
                  <c16:uniqueId val="{0000001C-1660-4FDC-A81E-279579ECD32C}"/>
                </c:ext>
              </c:extLst>
            </c:dLbl>
            <c:dLbl>
              <c:idx val="29"/>
              <c:layout>
                <c:manualLayout>
                  <c:x val="-6.4516071304869915E-2"/>
                  <c:y val="5.9595959595959522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5E3ED6CF-1110-4C20-BEE1-71D0EBD566D3}"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450435A1-9177-4756-9187-F3A11077D099}"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3950054263744887E-2"/>
                      <c:h val="3.7337946393064501E-2"/>
                    </c:manualLayout>
                  </c15:layout>
                  <c15:dlblFieldTable/>
                  <c15:showDataLabelsRange val="1"/>
                </c:ext>
                <c:ext xmlns:c16="http://schemas.microsoft.com/office/drawing/2014/chart" uri="{C3380CC4-5D6E-409C-BE32-E72D297353CC}">
                  <c16:uniqueId val="{0000001D-1660-4FDC-A81E-279579ECD32C}"/>
                </c:ext>
              </c:extLst>
            </c:dLbl>
            <c:dLbl>
              <c:idx val="30"/>
              <c:tx>
                <c:rich>
                  <a:bodyPr/>
                  <a:lstStyle/>
                  <a:p>
                    <a:fld id="{575D4B7C-849C-430F-9520-49957B62422A}" type="CELLRANGE">
                      <a:rPr lang="en-US"/>
                      <a:pPr/>
                      <a:t>[CELLRANGE]</a:t>
                    </a:fld>
                    <a:r>
                      <a:rPr lang="en-US" baseline="0"/>
                      <a:t>, </a:t>
                    </a:r>
                    <a:fld id="{BFBD37F7-A835-4868-B197-F37554B4EFC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1660-4FDC-A81E-279579ECD32C}"/>
                </c:ext>
              </c:extLst>
            </c:dLbl>
            <c:dLbl>
              <c:idx val="31"/>
              <c:tx>
                <c:rich>
                  <a:bodyPr/>
                  <a:lstStyle/>
                  <a:p>
                    <a:fld id="{BDA1390C-E949-4DEC-97F5-4E7423AE66B1}" type="CELLRANGE">
                      <a:rPr lang="en-US"/>
                      <a:pPr/>
                      <a:t>[CELLRANGE]</a:t>
                    </a:fld>
                    <a:r>
                      <a:rPr lang="en-US" baseline="0"/>
                      <a:t>, </a:t>
                    </a:r>
                    <a:fld id="{BBB5891F-D2F6-4BCE-A5ED-73897785571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660-4FDC-A81E-279579ECD32C}"/>
                </c:ext>
              </c:extLst>
            </c:dLbl>
            <c:dLbl>
              <c:idx val="32"/>
              <c:layout>
                <c:manualLayout>
                  <c:x val="2.932551319648067E-3"/>
                  <c:y val="-9.0907500198838774E-3"/>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5BC1DCBE-82AE-4A83-B47A-50B15163B663}"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7DB3D282-0F1A-41E6-83CD-4D381001D9AB}"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4.4195742027847693E-2"/>
                      <c:h val="3.7337946393064501E-2"/>
                    </c:manualLayout>
                  </c15:layout>
                  <c15:dlblFieldTable/>
                  <c15:showDataLabelsRange val="1"/>
                </c:ext>
                <c:ext xmlns:c16="http://schemas.microsoft.com/office/drawing/2014/chart" uri="{C3380CC4-5D6E-409C-BE32-E72D297353CC}">
                  <c16:uniqueId val="{00000020-1660-4FDC-A81E-279579ECD32C}"/>
                </c:ext>
              </c:extLst>
            </c:dLbl>
            <c:dLbl>
              <c:idx val="33"/>
              <c:layout>
                <c:manualLayout>
                  <c:x val="-4.3988269794721447E-3"/>
                  <c:y val="-5.353535353535354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3327B4A6-8632-4295-866D-75EDDCFC3B9C}"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68BF5ED6-5056-4792-A247-923338ACB240}"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4.0790403398988609E-2"/>
                      <c:h val="3.7337946393064501E-2"/>
                    </c:manualLayout>
                  </c15:layout>
                  <c15:dlblFieldTable/>
                  <c15:showDataLabelsRange val="1"/>
                </c:ext>
                <c:ext xmlns:c16="http://schemas.microsoft.com/office/drawing/2014/chart" uri="{C3380CC4-5D6E-409C-BE32-E72D297353CC}">
                  <c16:uniqueId val="{00000021-1660-4FDC-A81E-279579ECD32C}"/>
                </c:ext>
              </c:extLst>
            </c:dLbl>
            <c:dLbl>
              <c:idx val="34"/>
              <c:tx>
                <c:rich>
                  <a:bodyPr/>
                  <a:lstStyle/>
                  <a:p>
                    <a:fld id="{6EA82DAB-0DB2-4C1E-BA8B-FF552302EC7D}" type="CELLRANGE">
                      <a:rPr lang="en-US"/>
                      <a:pPr/>
                      <a:t>[CELLRANGE]</a:t>
                    </a:fld>
                    <a:r>
                      <a:rPr lang="en-US" baseline="0"/>
                      <a:t>, </a:t>
                    </a:r>
                    <a:fld id="{B75E19D6-68E2-4BE7-A3CA-C05B97FC62A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1660-4FDC-A81E-279579ECD32C}"/>
                </c:ext>
              </c:extLst>
            </c:dLbl>
            <c:dLbl>
              <c:idx val="35"/>
              <c:tx>
                <c:rich>
                  <a:bodyPr/>
                  <a:lstStyle/>
                  <a:p>
                    <a:fld id="{C691585E-571B-49F3-8A8A-8F8D4E181CBF}" type="CELLRANGE">
                      <a:rPr lang="en-US"/>
                      <a:pPr/>
                      <a:t>[CELLRANGE]</a:t>
                    </a:fld>
                    <a:r>
                      <a:rPr lang="en-US" baseline="0"/>
                      <a:t>, </a:t>
                    </a:r>
                    <a:fld id="{7EBAD497-F2A8-42B7-BF75-0CA63F14B5E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660-4FDC-A81E-279579ECD32C}"/>
                </c:ext>
              </c:extLst>
            </c:dLbl>
            <c:dLbl>
              <c:idx val="36"/>
              <c:layout>
                <c:manualLayout>
                  <c:x val="4.9853430161405775E-2"/>
                  <c:y val="1.2121291656724728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2A7D500F-F765-4B77-A07A-D61C666DDBD2}"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3B54A4D7-3B2C-4A6D-B3E5-56576F497D68}"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4512665388967134E-2"/>
                      <c:h val="2.7236936292054401E-2"/>
                    </c:manualLayout>
                  </c15:layout>
                  <c15:dlblFieldTable/>
                  <c15:showDataLabelsRange val="1"/>
                </c:ext>
                <c:ext xmlns:c16="http://schemas.microsoft.com/office/drawing/2014/chart" uri="{C3380CC4-5D6E-409C-BE32-E72D297353CC}">
                  <c16:uniqueId val="{00000024-1660-4FDC-A81E-279579ECD32C}"/>
                </c:ext>
              </c:extLst>
            </c:dLbl>
            <c:dLbl>
              <c:idx val="37"/>
              <c:tx>
                <c:rich>
                  <a:bodyPr/>
                  <a:lstStyle/>
                  <a:p>
                    <a:fld id="{4160E0A0-90E8-47EC-9AA7-BF136C3DD812}" type="CELLRANGE">
                      <a:rPr lang="en-US"/>
                      <a:pPr/>
                      <a:t>[CELLRANGE]</a:t>
                    </a:fld>
                    <a:r>
                      <a:rPr lang="en-US" baseline="0"/>
                      <a:t>, </a:t>
                    </a:r>
                    <a:fld id="{4ADCEEF7-7103-4DB5-A9BE-5B00241BB4F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660-4FDC-A81E-279579ECD32C}"/>
                </c:ext>
              </c:extLst>
            </c:dLbl>
            <c:dLbl>
              <c:idx val="38"/>
              <c:layout>
                <c:manualLayout>
                  <c:x val="7.331378299120235E-3"/>
                  <c:y val="8.0808080808080808E-3"/>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C448035A-8CAD-4F7E-A82C-90557A57B04F}"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55E1ADBF-6940-42B5-AC6F-F5DF062217E4}"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3498395178608538E-2"/>
                      <c:h val="3.7337946393064501E-2"/>
                    </c:manualLayout>
                  </c15:layout>
                  <c15:dlblFieldTable/>
                  <c15:showDataLabelsRange val="1"/>
                </c:ext>
                <c:ext xmlns:c16="http://schemas.microsoft.com/office/drawing/2014/chart" uri="{C3380CC4-5D6E-409C-BE32-E72D297353CC}">
                  <c16:uniqueId val="{00000026-1660-4FDC-A81E-279579ECD32C}"/>
                </c:ext>
              </c:extLst>
            </c:dLbl>
            <c:dLbl>
              <c:idx val="39"/>
              <c:layout>
                <c:manualLayout>
                  <c:x val="-4.398769252083959E-3"/>
                  <c:y val="4.7474827010260082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078A1865-4124-4AAA-AB98-B797773A691E}"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D2BAB9AC-4BC4-4AF8-8753-1A075070AFF5}"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2.9937654420763384E-2"/>
                      <c:h val="4.1378350433468533E-2"/>
                    </c:manualLayout>
                  </c15:layout>
                  <c15:dlblFieldTable/>
                  <c15:showDataLabelsRange val="1"/>
                </c:ext>
                <c:ext xmlns:c16="http://schemas.microsoft.com/office/drawing/2014/chart" uri="{C3380CC4-5D6E-409C-BE32-E72D297353CC}">
                  <c16:uniqueId val="{00000027-1660-4FDC-A81E-279579ECD32C}"/>
                </c:ext>
              </c:extLst>
            </c:dLbl>
            <c:dLbl>
              <c:idx val="40"/>
              <c:layout>
                <c:manualLayout>
                  <c:x val="-2.7859179809268709E-2"/>
                  <c:y val="-4.8484768949335878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E2931DC5-66A1-47F8-A81E-705906566AC8}"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8EBD620E-149A-4EC6-93E8-7BC102E2CBE9}"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8177084535987248E-2"/>
                      <c:h val="3.1277340332458436E-2"/>
                    </c:manualLayout>
                  </c15:layout>
                  <c15:dlblFieldTable/>
                  <c15:showDataLabelsRange val="1"/>
                </c:ext>
                <c:ext xmlns:c16="http://schemas.microsoft.com/office/drawing/2014/chart" uri="{C3380CC4-5D6E-409C-BE32-E72D297353CC}">
                  <c16:uniqueId val="{00000028-1660-4FDC-A81E-279579ECD32C}"/>
                </c:ext>
              </c:extLst>
            </c:dLbl>
            <c:dLbl>
              <c:idx val="41"/>
              <c:tx>
                <c:rich>
                  <a:bodyPr/>
                  <a:lstStyle/>
                  <a:p>
                    <a:fld id="{FBE094A0-9D19-4E74-9116-5B6EFCFEEF8A}" type="CELLRANGE">
                      <a:rPr lang="en-US"/>
                      <a:pPr/>
                      <a:t>[CELLRANGE]</a:t>
                    </a:fld>
                    <a:r>
                      <a:rPr lang="en-US" baseline="0"/>
                      <a:t>, </a:t>
                    </a:r>
                    <a:fld id="{84B2B0AF-C5E0-4EDC-B3DB-0866289206C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660-4FDC-A81E-279579ECD32C}"/>
                </c:ext>
              </c:extLst>
            </c:dLbl>
            <c:dLbl>
              <c:idx val="42"/>
              <c:layout>
                <c:manualLayout>
                  <c:x val="2.7859237536656891E-2"/>
                  <c:y val="-3.0303030303030304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7846CEC5-2B55-47C2-87CA-0BD7EFAD5807}"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6C17FB72-1A03-41AF-B027-E46ED0470751}"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3942549703281227E-2"/>
                      <c:h val="2.3196532251650363E-2"/>
                    </c:manualLayout>
                  </c15:layout>
                  <c15:dlblFieldTable/>
                  <c15:showDataLabelsRange val="1"/>
                </c:ext>
                <c:ext xmlns:c16="http://schemas.microsoft.com/office/drawing/2014/chart" uri="{C3380CC4-5D6E-409C-BE32-E72D297353CC}">
                  <c16:uniqueId val="{0000002A-1660-4FDC-A81E-279579ECD32C}"/>
                </c:ext>
              </c:extLst>
            </c:dLbl>
            <c:dLbl>
              <c:idx val="43"/>
              <c:tx>
                <c:rich>
                  <a:bodyPr/>
                  <a:lstStyle/>
                  <a:p>
                    <a:fld id="{3A30440F-FDA2-4D86-AF91-DFC5D4F5BA7C}" type="CELLRANGE">
                      <a:rPr lang="en-US"/>
                      <a:pPr/>
                      <a:t>[CELLRANGE]</a:t>
                    </a:fld>
                    <a:r>
                      <a:rPr lang="en-US" baseline="0"/>
                      <a:t>, </a:t>
                    </a:r>
                    <a:fld id="{3B3BB160-B892-4C12-91AA-C1DF73E4E28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660-4FDC-A81E-279579ECD32C}"/>
                </c:ext>
              </c:extLst>
            </c:dLbl>
            <c:dLbl>
              <c:idx val="44"/>
              <c:tx>
                <c:rich>
                  <a:bodyPr/>
                  <a:lstStyle/>
                  <a:p>
                    <a:fld id="{816984BE-8389-43E3-8D78-3BFF60CD83AC}" type="CELLRANGE">
                      <a:rPr lang="en-US"/>
                      <a:pPr/>
                      <a:t>[CELLRANGE]</a:t>
                    </a:fld>
                    <a:r>
                      <a:rPr lang="en-US" baseline="0"/>
                      <a:t>, </a:t>
                    </a:r>
                    <a:fld id="{0CA098D3-8898-4A96-8E7D-73FEF857035A}"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1660-4FDC-A81E-279579ECD32C}"/>
                </c:ext>
              </c:extLst>
            </c:dLbl>
            <c:dLbl>
              <c:idx val="45"/>
              <c:layout>
                <c:manualLayout>
                  <c:x val="-5.7184750733137828E-2"/>
                  <c:y val="-2.4242424242424242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9C17EB9E-419D-4C58-AEE1-62059686B30C}"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F6C10549-F708-4725-8C30-F25C7063A76E}"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4098067287043662E-2"/>
                      <c:h val="3.1277340332458443E-2"/>
                    </c:manualLayout>
                  </c15:layout>
                  <c15:dlblFieldTable/>
                  <c15:showDataLabelsRange val="1"/>
                </c:ext>
                <c:ext xmlns:c16="http://schemas.microsoft.com/office/drawing/2014/chart" uri="{C3380CC4-5D6E-409C-BE32-E72D297353CC}">
                  <c16:uniqueId val="{0000002D-1660-4FDC-A81E-279579ECD32C}"/>
                </c:ext>
              </c:extLst>
            </c:dLbl>
            <c:dLbl>
              <c:idx val="46"/>
              <c:tx>
                <c:rich>
                  <a:bodyPr/>
                  <a:lstStyle/>
                  <a:p>
                    <a:fld id="{768666AE-F94E-4332-BECA-8A029B0A85E4}" type="CELLRANGE">
                      <a:rPr lang="en-US"/>
                      <a:pPr/>
                      <a:t>[CELLRANGE]</a:t>
                    </a:fld>
                    <a:r>
                      <a:rPr lang="en-US" baseline="0"/>
                      <a:t>, </a:t>
                    </a:r>
                    <a:fld id="{93841CB1-2186-4DD7-9317-523EDAD69DFC}"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1660-4FDC-A81E-279579ECD32C}"/>
                </c:ext>
              </c:extLst>
            </c:dLbl>
            <c:dLbl>
              <c:idx val="47"/>
              <c:tx>
                <c:rich>
                  <a:bodyPr/>
                  <a:lstStyle/>
                  <a:p>
                    <a:fld id="{BDD7C2A6-9EFE-4D3E-ADDF-9C3A180D04AE}" type="CELLRANGE">
                      <a:rPr lang="en-US"/>
                      <a:pPr/>
                      <a:t>[CELLRANGE]</a:t>
                    </a:fld>
                    <a:r>
                      <a:rPr lang="en-US" baseline="0"/>
                      <a:t>, </a:t>
                    </a:r>
                    <a:fld id="{2FAB86B3-783E-4AAA-9572-8E1F283702E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660-4FDC-A81E-279579ECD32C}"/>
                </c:ext>
              </c:extLst>
            </c:dLbl>
            <c:dLbl>
              <c:idx val="48"/>
              <c:layout>
                <c:manualLayout>
                  <c:x val="1.4663333872121753E-3"/>
                  <c:y val="-4.9494869959436888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C0EA6790-F60B-4B2A-BA09-0B8EC8DDEDA0}"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0C4EB574-6E42-4A46-8A74-8EBA3C84BC53}"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3.4038838986768877E-2"/>
                      <c:h val="2.9257138312256414E-2"/>
                    </c:manualLayout>
                  </c15:layout>
                  <c15:dlblFieldTable/>
                  <c15:showDataLabelsRange val="1"/>
                </c:ext>
                <c:ext xmlns:c16="http://schemas.microsoft.com/office/drawing/2014/chart" uri="{C3380CC4-5D6E-409C-BE32-E72D297353CC}">
                  <c16:uniqueId val="{00000030-1660-4FDC-A81E-279579ECD32C}"/>
                </c:ext>
              </c:extLst>
            </c:dLbl>
            <c:dLbl>
              <c:idx val="49"/>
              <c:tx>
                <c:rich>
                  <a:bodyPr/>
                  <a:lstStyle/>
                  <a:p>
                    <a:fld id="{1EEDAC6B-A425-4928-9AD3-EC1598B70023}" type="CELLRANGE">
                      <a:rPr lang="en-US"/>
                      <a:pPr/>
                      <a:t>[CELLRANGE]</a:t>
                    </a:fld>
                    <a:r>
                      <a:rPr lang="en-US" baseline="0"/>
                      <a:t>, </a:t>
                    </a:r>
                    <a:fld id="{1A213A8A-A676-4B10-85DE-2C2CEB87B36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660-4FDC-A81E-279579ECD32C}"/>
                </c:ext>
              </c:extLst>
            </c:dLbl>
            <c:dLbl>
              <c:idx val="50"/>
              <c:layout>
                <c:manualLayout>
                  <c:x val="4.9853372434017593E-2"/>
                  <c:y val="3.7373816909249985E-2"/>
                </c:manualLayout>
              </c:layout>
              <c:tx>
                <c:rich>
                  <a:bodyPr rot="0" spcFirstLastPara="1" vertOverflow="ellipsis" vert="horz" wrap="square" lIns="38100" tIns="274320" rIns="38100" bIns="274320" anchor="ctr" anchorCtr="1">
                    <a:noAutofit/>
                  </a:bodyPr>
                  <a:lstStyle/>
                  <a:p>
                    <a:pPr>
                      <a:defRPr sz="800" b="0" i="0" u="none" strike="noStrike" kern="1200" baseline="0">
                        <a:solidFill>
                          <a:schemeClr val="tx1">
                            <a:lumMod val="75000"/>
                            <a:lumOff val="25000"/>
                          </a:schemeClr>
                        </a:solidFill>
                        <a:latin typeface="+mn-lt"/>
                        <a:ea typeface="+mn-ea"/>
                        <a:cs typeface="+mn-cs"/>
                      </a:defRPr>
                    </a:pPr>
                    <a:fld id="{14C58084-A8FD-487E-8C80-F6BE76766D4F}" type="CELLRANGE">
                      <a:rPr lang="en-US" baseline="0"/>
                      <a:pPr>
                        <a:defRPr sz="800" b="0" i="0" u="none" strike="noStrike" kern="1200" baseline="0">
                          <a:solidFill>
                            <a:schemeClr val="tx1">
                              <a:lumMod val="75000"/>
                              <a:lumOff val="25000"/>
                            </a:schemeClr>
                          </a:solidFill>
                          <a:latin typeface="+mn-lt"/>
                          <a:ea typeface="+mn-ea"/>
                          <a:cs typeface="+mn-cs"/>
                        </a:defRPr>
                      </a:pPr>
                      <a:t>[CELLRANGE]</a:t>
                    </a:fld>
                    <a:r>
                      <a:rPr lang="en-US" baseline="0"/>
                      <a:t>, </a:t>
                    </a:r>
                    <a:fld id="{9CEE0920-D084-477A-BCA7-73C8972D0B23}" type="BUBBLESIZE">
                      <a:rPr lang="en-US" baseline="0"/>
                      <a:pPr>
                        <a:defRPr sz="800" b="0" i="0" u="none" strike="noStrike" kern="1200" baseline="0">
                          <a:solidFill>
                            <a:schemeClr val="tx1">
                              <a:lumMod val="75000"/>
                              <a:lumOff val="25000"/>
                            </a:schemeClr>
                          </a:solidFill>
                          <a:latin typeface="+mn-lt"/>
                          <a:ea typeface="+mn-ea"/>
                          <a:cs typeface="+mn-cs"/>
                        </a:defRPr>
                      </a:pPr>
                      <a:t>[BUBBLE SIZE]</a:t>
                    </a:fld>
                    <a:endParaRPr lang="en-US" baseline="0"/>
                  </a:p>
                </c:rich>
              </c:tx>
              <c:spPr>
                <a:noFill/>
                <a:ln>
                  <a:noFill/>
                </a:ln>
                <a:effectLst/>
              </c:sp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c15:spPr>
                  <c15:layout>
                    <c:manualLayout>
                      <c:w val="4.2729928187129104E-2"/>
                      <c:h val="2.9257138312256424E-2"/>
                    </c:manualLayout>
                  </c15:layout>
                  <c15:dlblFieldTable/>
                  <c15:showDataLabelsRange val="1"/>
                </c:ext>
                <c:ext xmlns:c16="http://schemas.microsoft.com/office/drawing/2014/chart" uri="{C3380CC4-5D6E-409C-BE32-E72D297353CC}">
                  <c16:uniqueId val="{00000032-1660-4FDC-A81E-279579ECD32C}"/>
                </c:ext>
              </c:extLst>
            </c:dLbl>
            <c:spPr>
              <a:noFill/>
              <a:ln>
                <a:noFill/>
              </a:ln>
              <a:effectLst/>
            </c:spPr>
            <c:txPr>
              <a:bodyPr rot="0" spcFirstLastPara="1" vertOverflow="ellipsis" vert="horz" wrap="square" lIns="38100" tIns="274320" rIns="38100" bIns="27432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1"/>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Model'!$Y$16:$Y$66</c:f>
              <c:numCache>
                <c:formatCode>0</c:formatCode>
                <c:ptCount val="51"/>
                <c:pt idx="0">
                  <c:v>1E-4</c:v>
                </c:pt>
                <c:pt idx="1">
                  <c:v>2.8960767337965017</c:v>
                </c:pt>
                <c:pt idx="2">
                  <c:v>2.2201574389854346</c:v>
                </c:pt>
                <c:pt idx="3">
                  <c:v>6.5258753706182011</c:v>
                </c:pt>
                <c:pt idx="4">
                  <c:v>2.3866032543904199</c:v>
                </c:pt>
                <c:pt idx="5">
                  <c:v>0.52094765240149921</c:v>
                </c:pt>
                <c:pt idx="6">
                  <c:v>0.53291642440005527</c:v>
                </c:pt>
                <c:pt idx="7">
                  <c:v>0.5667737396723197</c:v>
                </c:pt>
                <c:pt idx="8">
                  <c:v>0.61616572393310898</c:v>
                </c:pt>
                <c:pt idx="9">
                  <c:v>5.7268603298382876</c:v>
                </c:pt>
                <c:pt idx="10">
                  <c:v>3.1363542735369969</c:v>
                </c:pt>
                <c:pt idx="11" formatCode="0.000">
                  <c:v>1E-3</c:v>
                </c:pt>
                <c:pt idx="12">
                  <c:v>1.5530558751469854</c:v>
                </c:pt>
                <c:pt idx="13">
                  <c:v>2.8538413543995325</c:v>
                </c:pt>
                <c:pt idx="14">
                  <c:v>0.90752544563247861</c:v>
                </c:pt>
                <c:pt idx="15">
                  <c:v>1.0991918117934072</c:v>
                </c:pt>
                <c:pt idx="16">
                  <c:v>1.0297551173680557</c:v>
                </c:pt>
                <c:pt idx="17">
                  <c:v>0.78340558944219951</c:v>
                </c:pt>
                <c:pt idx="18">
                  <c:v>5.1196073648348364</c:v>
                </c:pt>
                <c:pt idx="19">
                  <c:v>1.624953953592766</c:v>
                </c:pt>
                <c:pt idx="20">
                  <c:v>1.2570959759696179</c:v>
                </c:pt>
                <c:pt idx="21">
                  <c:v>0.37196513645169066</c:v>
                </c:pt>
                <c:pt idx="22">
                  <c:v>0.58076329720151199</c:v>
                </c:pt>
                <c:pt idx="23">
                  <c:v>0.70926613651387183</c:v>
                </c:pt>
                <c:pt idx="24">
                  <c:v>0.87984738884105851</c:v>
                </c:pt>
                <c:pt idx="25">
                  <c:v>7.0560983337863803</c:v>
                </c:pt>
                <c:pt idx="26" formatCode="0.000">
                  <c:v>1.5906016029521566</c:v>
                </c:pt>
                <c:pt idx="27">
                  <c:v>1.8306489536124997</c:v>
                </c:pt>
                <c:pt idx="28">
                  <c:v>0.52489167548047277</c:v>
                </c:pt>
                <c:pt idx="29">
                  <c:v>0.82712643868304925</c:v>
                </c:pt>
                <c:pt idx="30">
                  <c:v>0.5883603206857928</c:v>
                </c:pt>
                <c:pt idx="31">
                  <c:v>0.47285635637157053</c:v>
                </c:pt>
                <c:pt idx="32">
                  <c:v>1.9076424448536338</c:v>
                </c:pt>
                <c:pt idx="33">
                  <c:v>3.5063159138692974</c:v>
                </c:pt>
                <c:pt idx="34">
                  <c:v>0.28272458703062131</c:v>
                </c:pt>
                <c:pt idx="35">
                  <c:v>1.668220821106843</c:v>
                </c:pt>
                <c:pt idx="36">
                  <c:v>1.3899520618169807</c:v>
                </c:pt>
                <c:pt idx="37">
                  <c:v>0.92466647398830226</c:v>
                </c:pt>
                <c:pt idx="38">
                  <c:v>0.67958189934392232</c:v>
                </c:pt>
                <c:pt idx="39">
                  <c:v>0.56637916630874652</c:v>
                </c:pt>
                <c:pt idx="40">
                  <c:v>5.5742074622905839</c:v>
                </c:pt>
                <c:pt idx="41">
                  <c:v>1.3564548600082065</c:v>
                </c:pt>
                <c:pt idx="42">
                  <c:v>1.6693087626702732</c:v>
                </c:pt>
                <c:pt idx="43">
                  <c:v>4.4937417145559397</c:v>
                </c:pt>
                <c:pt idx="44">
                  <c:v>1.02933350967168</c:v>
                </c:pt>
                <c:pt idx="45">
                  <c:v>1.5933418928597078</c:v>
                </c:pt>
                <c:pt idx="46">
                  <c:v>1E-4</c:v>
                </c:pt>
                <c:pt idx="47">
                  <c:v>1.2475552840991988</c:v>
                </c:pt>
                <c:pt idx="48">
                  <c:v>0.96179707661778568</c:v>
                </c:pt>
                <c:pt idx="49">
                  <c:v>0.61378893584064254</c:v>
                </c:pt>
                <c:pt idx="50">
                  <c:v>0.34556698038389039</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3-1660-4FDC-A81E-279579ECD32C}"/>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sz="1000" b="0" i="0" u="none" strike="noStrike" kern="1200" baseline="0">
                    <a:solidFill>
                      <a:schemeClr val="tx1">
                        <a:lumMod val="65000"/>
                        <a:lumOff val="35000"/>
                      </a:schemeClr>
                    </a:solidFill>
                    <a:latin typeface="+mn-lt"/>
                    <a:ea typeface="+mn-ea"/>
                    <a:cs typeface="+mn-cs"/>
                  </a:defRPr>
                </a:pPr>
                <a:r>
                  <a:rPr lang="en-US"/>
                  <a:t>Effective</a:t>
                </a:r>
                <a:r>
                  <a:rPr lang="en-US" baseline="0"/>
                  <a:t> Rate of Transmission (Rt) + Test Positive Rate </a:t>
                </a:r>
                <a:endParaRPr lang="en-US"/>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a:softEdge rad="0"/>
        </a:effectLst>
      </c:spPr>
    </c:plotArea>
    <c:legend>
      <c:legendPos val="r"/>
      <c:layout>
        <c:manualLayout>
          <c:xMode val="edge"/>
          <c:yMode val="edge"/>
          <c:x val="0.19431859479103572"/>
          <c:y val="0.87295069075269305"/>
          <c:w val="0.16758622479882324"/>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Highest </a:t>
            </a:r>
            <a:r>
              <a:rPr lang="en-US" sz="1400" b="0" i="0" u="none" strike="noStrike" kern="1200" spc="0" baseline="0">
                <a:solidFill>
                  <a:sysClr val="windowText" lastClr="000000">
                    <a:lumMod val="65000"/>
                    <a:lumOff val="35000"/>
                  </a:sysClr>
                </a:solidFill>
                <a:latin typeface="+mn-lt"/>
                <a:ea typeface="+mn-ea"/>
                <a:cs typeface="+mn-cs"/>
              </a:rPr>
              <a:t>Risk</a:t>
            </a:r>
            <a:r>
              <a:rPr lang="en-US" sz="1400" b="0"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Model'!$Q$15</c:f>
              <c:strCache>
                <c:ptCount val="1"/>
                <c:pt idx="0">
                  <c:v>TPR Current</c:v>
                </c:pt>
              </c:strCache>
            </c:strRef>
          </c:tx>
          <c:spPr>
            <a:noFill/>
            <a:ln w="19050">
              <a:solidFill>
                <a:schemeClr val="accent1"/>
              </a:solidFill>
            </a:ln>
            <a:effectLst/>
          </c:spPr>
          <c:invertIfNegative val="0"/>
          <c:dLbls>
            <c:dLbl>
              <c:idx val="0"/>
              <c:layout>
                <c:manualLayout>
                  <c:x val="1.2609970674486803E-2"/>
                  <c:y val="3.272727272727273E-2"/>
                </c:manualLayout>
              </c:layout>
              <c:tx>
                <c:rich>
                  <a:bodyPr/>
                  <a:lstStyle/>
                  <a:p>
                    <a:fld id="{65C3893A-C9B9-4943-AAB9-5D907485B2B2}" type="CELLRANGE">
                      <a:rPr lang="en-US" baseline="0"/>
                      <a:pPr/>
                      <a:t>[CELLRANGE]</a:t>
                    </a:fld>
                    <a:r>
                      <a:rPr lang="en-US" baseline="0"/>
                      <a:t>, </a:t>
                    </a:r>
                    <a:fld id="{88A8F55C-409F-4CAF-BF1B-3F30170462C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473F-42BC-9055-2061C7BF4A5B}"/>
                </c:ext>
              </c:extLst>
            </c:dLbl>
            <c:dLbl>
              <c:idx val="1"/>
              <c:layout>
                <c:manualLayout>
                  <c:x val="-4.397787886484864E-3"/>
                  <c:y val="2.5258888093533688E-2"/>
                </c:manualLayout>
              </c:layout>
              <c:tx>
                <c:rich>
                  <a:bodyPr/>
                  <a:lstStyle/>
                  <a:p>
                    <a:fld id="{2328243A-50C6-4CF9-AF31-D9ABE6476BF6}" type="CELLRANGE">
                      <a:rPr lang="en-US" baseline="0"/>
                      <a:pPr/>
                      <a:t>[CELLRANGE]</a:t>
                    </a:fld>
                    <a:r>
                      <a:rPr lang="en-US" baseline="0"/>
                      <a:t>, </a:t>
                    </a:r>
                    <a:fld id="{A6ECC22D-C0EA-4C21-B4C3-4BB9B227B50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473F-42BC-9055-2061C7BF4A5B}"/>
                </c:ext>
              </c:extLst>
            </c:dLbl>
            <c:dLbl>
              <c:idx val="2"/>
              <c:layout>
                <c:manualLayout>
                  <c:x val="1.2018149490844437E-2"/>
                  <c:y val="-3.0450807285453029E-2"/>
                </c:manualLayout>
              </c:layout>
              <c:tx>
                <c:rich>
                  <a:bodyPr/>
                  <a:lstStyle/>
                  <a:p>
                    <a:fld id="{99A02147-FABF-4684-A04F-93BBA541E9D0}" type="CELLRANGE">
                      <a:rPr lang="en-US" baseline="0"/>
                      <a:pPr/>
                      <a:t>[CELLRANGE]</a:t>
                    </a:fld>
                    <a:r>
                      <a:rPr lang="en-US" baseline="0"/>
                      <a:t>, </a:t>
                    </a:r>
                    <a:fld id="{D4724AF7-FC29-4C66-AC41-E0F940756A5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473F-42BC-9055-2061C7BF4A5B}"/>
                </c:ext>
              </c:extLst>
            </c:dLbl>
            <c:dLbl>
              <c:idx val="3"/>
              <c:layout>
                <c:manualLayout>
                  <c:x val="5.138199367307815E-2"/>
                  <c:y val="-2.2206951403801762E-2"/>
                </c:manualLayout>
              </c:layout>
              <c:tx>
                <c:rich>
                  <a:bodyPr/>
                  <a:lstStyle/>
                  <a:p>
                    <a:fld id="{56696C65-EC01-4279-9099-2A6E7EA405B5}" type="CELLRANGE">
                      <a:rPr lang="en-US" baseline="0"/>
                      <a:pPr/>
                      <a:t>[CELLRANGE]</a:t>
                    </a:fld>
                    <a:r>
                      <a:rPr lang="en-US" baseline="0"/>
                      <a:t>, </a:t>
                    </a:r>
                    <a:fld id="{EEC43394-5AC2-4465-8AD3-622F4AC5687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473F-42BC-9055-2061C7BF4A5B}"/>
                </c:ext>
              </c:extLst>
            </c:dLbl>
            <c:dLbl>
              <c:idx val="4"/>
              <c:layout>
                <c:manualLayout>
                  <c:x val="-9.0322580645161285E-2"/>
                  <c:y val="-4.8040085898353617E-2"/>
                </c:manualLayout>
              </c:layout>
              <c:tx>
                <c:rich>
                  <a:bodyPr/>
                  <a:lstStyle/>
                  <a:p>
                    <a:fld id="{708BA1F8-4C13-45C2-B613-E4AFDA9489C2}" type="CELLRANGE">
                      <a:rPr lang="en-US" baseline="0"/>
                      <a:pPr/>
                      <a:t>[CELLRANGE]</a:t>
                    </a:fld>
                    <a:r>
                      <a:rPr lang="en-US" baseline="0"/>
                      <a:t>, </a:t>
                    </a:r>
                    <a:fld id="{22DB7362-8FC9-4340-8835-BAA954BA49E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473F-42BC-9055-2061C7BF4A5B}"/>
                </c:ext>
              </c:extLst>
            </c:dLbl>
            <c:dLbl>
              <c:idx val="5"/>
              <c:layout>
                <c:manualLayout>
                  <c:x val="1.347899877617937E-2"/>
                  <c:y val="-2.7050345979479837E-2"/>
                </c:manualLayout>
              </c:layout>
              <c:tx>
                <c:rich>
                  <a:bodyPr/>
                  <a:lstStyle/>
                  <a:p>
                    <a:fld id="{68CEDF94-108C-4976-B714-FD6336A82E63}" type="CELLRANGE">
                      <a:rPr lang="en-US" baseline="0"/>
                      <a:pPr/>
                      <a:t>[CELLRANGE]</a:t>
                    </a:fld>
                    <a:r>
                      <a:rPr lang="en-US" baseline="0"/>
                      <a:t>, </a:t>
                    </a:r>
                    <a:fld id="{7D37E3E2-EBD6-4675-9C86-19A99D045AF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473F-42BC-9055-2061C7BF4A5B}"/>
                </c:ext>
              </c:extLst>
            </c:dLbl>
            <c:dLbl>
              <c:idx val="6"/>
              <c:layout>
                <c:manualLayout>
                  <c:x val="-0.1231800863601728"/>
                  <c:y val="0.100552612741589"/>
                </c:manualLayout>
              </c:layout>
              <c:tx>
                <c:rich>
                  <a:bodyPr/>
                  <a:lstStyle/>
                  <a:p>
                    <a:fld id="{CB04926A-2849-4651-B8CE-9E84D982AEAC}" type="CELLRANGE">
                      <a:rPr lang="en-US" baseline="0"/>
                      <a:pPr/>
                      <a:t>[CELLRANGE]</a:t>
                    </a:fld>
                    <a:r>
                      <a:rPr lang="en-US" baseline="0"/>
                      <a:t>, </a:t>
                    </a:r>
                    <a:fld id="{3DBF041A-966E-4F42-BF0E-39B386EC01B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473F-42BC-9055-2061C7BF4A5B}"/>
                </c:ext>
              </c:extLst>
            </c:dLbl>
            <c:dLbl>
              <c:idx val="7"/>
              <c:layout>
                <c:manualLayout>
                  <c:x val="-7.0381231671554252E-3"/>
                  <c:y val="0.12121212121212109"/>
                </c:manualLayout>
              </c:layout>
              <c:tx>
                <c:rich>
                  <a:bodyPr/>
                  <a:lstStyle/>
                  <a:p>
                    <a:fld id="{6DF0598A-8207-4CB5-85A8-54EA569328CF}" type="CELLRANGE">
                      <a:rPr lang="en-US" baseline="0"/>
                      <a:pPr/>
                      <a:t>[CELLRANGE]</a:t>
                    </a:fld>
                    <a:r>
                      <a:rPr lang="en-US" baseline="0"/>
                      <a:t>, </a:t>
                    </a:r>
                    <a:fld id="{5FB8C96A-4DE1-4146-9A0C-124BFDDCDC8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473F-42BC-9055-2061C7BF4A5B}"/>
                </c:ext>
              </c:extLst>
            </c:dLbl>
            <c:dLbl>
              <c:idx val="8"/>
              <c:layout>
                <c:manualLayout>
                  <c:x val="5.5974138130094442E-2"/>
                  <c:y val="1.1432752724090714E-3"/>
                </c:manualLayout>
              </c:layout>
              <c:tx>
                <c:rich>
                  <a:bodyPr/>
                  <a:lstStyle/>
                  <a:p>
                    <a:fld id="{C9BDB050-26E9-45BA-B892-B93A72E3E4DC}" type="CELLRANGE">
                      <a:rPr lang="en-US" baseline="0"/>
                      <a:pPr/>
                      <a:t>[CELLRANGE]</a:t>
                    </a:fld>
                    <a:r>
                      <a:rPr lang="en-US" baseline="0"/>
                      <a:t>, </a:t>
                    </a:r>
                    <a:fld id="{FD9D4869-3FE6-4DB6-A45F-AF7E2FE9680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473F-42BC-9055-2061C7BF4A5B}"/>
                </c:ext>
              </c:extLst>
            </c:dLbl>
            <c:dLbl>
              <c:idx val="9"/>
              <c:layout>
                <c:manualLayout>
                  <c:x val="-7.0462050015009125E-4"/>
                  <c:y val="-3.9242344706911639E-2"/>
                </c:manualLayout>
              </c:layout>
              <c:tx>
                <c:rich>
                  <a:bodyPr/>
                  <a:lstStyle/>
                  <a:p>
                    <a:fld id="{49932518-52DA-4BF2-99C2-75A4891A750D}" type="CELLRANGE">
                      <a:rPr lang="en-US" baseline="0"/>
                      <a:pPr/>
                      <a:t>[CELLRANGE]</a:t>
                    </a:fld>
                    <a:r>
                      <a:rPr lang="en-US" baseline="0"/>
                      <a:t>, </a:t>
                    </a:r>
                    <a:fld id="{2F43D6AB-8113-49ED-AB4E-E8B00B11C62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473F-42BC-9055-2061C7BF4A5B}"/>
                </c:ext>
              </c:extLst>
            </c:dLbl>
            <c:dLbl>
              <c:idx val="10"/>
              <c:layout>
                <c:manualLayout>
                  <c:x val="-1.7329992841803865E-2"/>
                  <c:y val="-5.204978923089159E-2"/>
                </c:manualLayout>
              </c:layout>
              <c:tx>
                <c:rich>
                  <a:bodyPr/>
                  <a:lstStyle/>
                  <a:p>
                    <a:fld id="{CD985327-D985-4FA6-8D16-663EE1214B67}" type="CELLRANGE">
                      <a:rPr lang="en-US" baseline="0"/>
                      <a:pPr/>
                      <a:t>[CELLRANGE]</a:t>
                    </a:fld>
                    <a:r>
                      <a:rPr lang="en-US" baseline="0"/>
                      <a:t>, </a:t>
                    </a:r>
                    <a:fld id="{C6D06757-2263-4DA1-8C82-3B86AEEDC9C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473F-42BC-9055-2061C7BF4A5B}"/>
                </c:ext>
              </c:extLst>
            </c:dLbl>
            <c:dLbl>
              <c:idx val="11"/>
              <c:layout>
                <c:manualLayout>
                  <c:x val="5.8683353730343826E-3"/>
                  <c:y val="-3.0239401892945217E-2"/>
                </c:manualLayout>
              </c:layout>
              <c:tx>
                <c:rich>
                  <a:bodyPr/>
                  <a:lstStyle/>
                  <a:p>
                    <a:fld id="{703F07DE-21F3-47F3-B58B-20E8BF549347}" type="CELLRANGE">
                      <a:rPr lang="en-US" baseline="0"/>
                      <a:pPr/>
                      <a:t>[CELLRANGE]</a:t>
                    </a:fld>
                    <a:r>
                      <a:rPr lang="en-US" baseline="0"/>
                      <a:t>, </a:t>
                    </a:r>
                    <a:fld id="{65729E17-DC8D-4FB0-9A46-1853949F199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473F-42BC-9055-2061C7BF4A5B}"/>
                </c:ext>
              </c:extLst>
            </c:dLbl>
            <c:dLbl>
              <c:idx val="12"/>
              <c:layout>
                <c:manualLayout>
                  <c:x val="7.3303392061329579E-3"/>
                  <c:y val="0.10703762029746275"/>
                </c:manualLayout>
              </c:layout>
              <c:tx>
                <c:rich>
                  <a:bodyPr/>
                  <a:lstStyle/>
                  <a:p>
                    <a:fld id="{18123F4D-1EF2-49C5-BBE4-8B531AFE21FF}" type="CELLRANGE">
                      <a:rPr lang="en-US" baseline="0"/>
                      <a:pPr/>
                      <a:t>[CELLRANGE]</a:t>
                    </a:fld>
                    <a:r>
                      <a:rPr lang="en-US" baseline="0"/>
                      <a:t>, </a:t>
                    </a:r>
                    <a:fld id="{88757A68-E4BC-4F1A-8519-5C97C4D33CC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473F-42BC-9055-2061C7BF4A5B}"/>
                </c:ext>
              </c:extLst>
            </c:dLbl>
            <c:dLbl>
              <c:idx val="13"/>
              <c:layout>
                <c:manualLayout>
                  <c:x val="-5.8586371718199054E-3"/>
                  <c:y val="3.7319016941064188E-2"/>
                </c:manualLayout>
              </c:layout>
              <c:tx>
                <c:rich>
                  <a:bodyPr/>
                  <a:lstStyle/>
                  <a:p>
                    <a:fld id="{6293CDDE-C4A7-44C1-8590-60F51F93EA4B}" type="CELLRANGE">
                      <a:rPr lang="en-US" baseline="0"/>
                      <a:pPr/>
                      <a:t>[CELLRANGE]</a:t>
                    </a:fld>
                    <a:r>
                      <a:rPr lang="en-US" baseline="0"/>
                      <a:t>, </a:t>
                    </a:r>
                    <a:fld id="{0B7DEFFD-6B9C-405F-BFA2-F33A051226D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473F-42BC-9055-2061C7BF4A5B}"/>
                </c:ext>
              </c:extLst>
            </c:dLbl>
            <c:dLbl>
              <c:idx val="14"/>
              <c:layout>
                <c:manualLayout>
                  <c:x val="2.1752834414759739E-3"/>
                  <c:y val="3.0137596436809037E-3"/>
                </c:manualLayout>
              </c:layout>
              <c:tx>
                <c:rich>
                  <a:bodyPr/>
                  <a:lstStyle/>
                  <a:p>
                    <a:fld id="{6DAD8667-A4FC-4582-80C5-011D90790722}" type="CELLRANGE">
                      <a:rPr lang="en-US" baseline="0"/>
                      <a:pPr/>
                      <a:t>[CELLRANGE]</a:t>
                    </a:fld>
                    <a:r>
                      <a:rPr lang="en-US" baseline="0"/>
                      <a:t>, </a:t>
                    </a:r>
                    <a:fld id="{50EE7645-1919-49B7-950C-07D1756F1DA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473F-42BC-9055-2061C7BF4A5B}"/>
                </c:ext>
              </c:extLst>
            </c:dLbl>
            <c:dLbl>
              <c:idx val="15"/>
              <c:layout>
                <c:manualLayout>
                  <c:x val="-9.8239430115223861E-2"/>
                  <c:y val="0.1030150322118826"/>
                </c:manualLayout>
              </c:layout>
              <c:tx>
                <c:rich>
                  <a:bodyPr/>
                  <a:lstStyle/>
                  <a:p>
                    <a:fld id="{6010FC66-1FF0-4F59-BCFD-848FDB852ED7}" type="CELLRANGE">
                      <a:rPr lang="en-US" baseline="0"/>
                      <a:pPr/>
                      <a:t>[CELLRANGE]</a:t>
                    </a:fld>
                    <a:r>
                      <a:rPr lang="en-US" baseline="0"/>
                      <a:t>, </a:t>
                    </a:r>
                    <a:fld id="{72CD79E1-EE7A-4FCD-88E8-A01BD16829D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473F-42BC-9055-2061C7BF4A5B}"/>
                </c:ext>
              </c:extLst>
            </c:dLbl>
            <c:dLbl>
              <c:idx val="16"/>
              <c:layout>
                <c:manualLayout>
                  <c:x val="-8.0577504791373225E-2"/>
                  <c:y val="6.862578541318691E-2"/>
                </c:manualLayout>
              </c:layout>
              <c:tx>
                <c:rich>
                  <a:bodyPr/>
                  <a:lstStyle/>
                  <a:p>
                    <a:fld id="{DED553BC-461E-4F4F-9ACD-4986FBF85E45}" type="CELLRANGE">
                      <a:rPr lang="en-US" baseline="0"/>
                      <a:pPr/>
                      <a:t>[CELLRANGE]</a:t>
                    </a:fld>
                    <a:r>
                      <a:rPr lang="en-US" baseline="0"/>
                      <a:t>, </a:t>
                    </a:r>
                    <a:fld id="{4FAAC5E5-8B66-43C3-87BE-6B53933373F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473F-42BC-9055-2061C7BF4A5B}"/>
                </c:ext>
              </c:extLst>
            </c:dLbl>
            <c:dLbl>
              <c:idx val="17"/>
              <c:layout>
                <c:manualLayout>
                  <c:x val="3.3699632853811161E-2"/>
                  <c:y val="3.83151197009464E-2"/>
                </c:manualLayout>
              </c:layout>
              <c:tx>
                <c:rich>
                  <a:bodyPr/>
                  <a:lstStyle/>
                  <a:p>
                    <a:fld id="{AD51D0B8-FB88-4B72-A267-A67F3204B533}" type="CELLRANGE">
                      <a:rPr lang="en-US" baseline="0"/>
                      <a:pPr/>
                      <a:t>[CELLRANGE]</a:t>
                    </a:fld>
                    <a:r>
                      <a:rPr lang="en-US" baseline="0"/>
                      <a:t>, </a:t>
                    </a:r>
                    <a:fld id="{5E6F2F8C-59C6-4EEA-AF1E-01C59E5FC84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473F-42BC-9055-2061C7BF4A5B}"/>
                </c:ext>
              </c:extLst>
            </c:dLbl>
            <c:dLbl>
              <c:idx val="18"/>
              <c:layout>
                <c:manualLayout>
                  <c:x val="-2.9432886138499549E-3"/>
                  <c:y val="-5.3419390757973473E-2"/>
                </c:manualLayout>
              </c:layout>
              <c:tx>
                <c:rich>
                  <a:bodyPr/>
                  <a:lstStyle/>
                  <a:p>
                    <a:fld id="{44E8610C-FDC9-41D8-9E8A-B43FE1FD51DC}" type="CELLRANGE">
                      <a:rPr lang="en-US" baseline="0"/>
                      <a:pPr/>
                      <a:t>[CELLRANGE]</a:t>
                    </a:fld>
                    <a:r>
                      <a:rPr lang="en-US" baseline="0"/>
                      <a:t>, </a:t>
                    </a:r>
                    <a:fld id="{B7CD1977-A1C7-450A-9476-A716C696F04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473F-42BC-9055-2061C7BF4A5B}"/>
                </c:ext>
              </c:extLst>
            </c:dLbl>
            <c:dLbl>
              <c:idx val="19"/>
              <c:layout>
                <c:manualLayout>
                  <c:x val="6.1302145149744844E-2"/>
                  <c:y val="-5.1254593175853021E-2"/>
                </c:manualLayout>
              </c:layout>
              <c:tx>
                <c:rich>
                  <a:bodyPr/>
                  <a:lstStyle/>
                  <a:p>
                    <a:fld id="{CFCFD54C-42D0-4AAA-9D07-0BBFA13D8FA8}" type="CELLRANGE">
                      <a:rPr lang="en-US" baseline="0"/>
                      <a:pPr/>
                      <a:t>[CELLRANGE]</a:t>
                    </a:fld>
                    <a:r>
                      <a:rPr lang="en-US" baseline="0"/>
                      <a:t>, </a:t>
                    </a:r>
                    <a:fld id="{6D8A3CE1-CA39-48FD-9CE1-D073D3C2E66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473F-42BC-9055-2061C7BF4A5B}"/>
                </c:ext>
              </c:extLst>
            </c:dLbl>
            <c:dLbl>
              <c:idx val="20"/>
              <c:layout>
                <c:manualLayout>
                  <c:x val="-1.0924561849123712E-2"/>
                  <c:y val="-6.4547045255706703E-2"/>
                </c:manualLayout>
              </c:layout>
              <c:tx>
                <c:rich>
                  <a:bodyPr/>
                  <a:lstStyle/>
                  <a:p>
                    <a:fld id="{AEC28631-C32D-46DE-800A-6ED12F8919C0}" type="CELLRANGE">
                      <a:rPr lang="en-US" baseline="0"/>
                      <a:pPr/>
                      <a:t>[CELLRANGE]</a:t>
                    </a:fld>
                    <a:r>
                      <a:rPr lang="en-US" baseline="0"/>
                      <a:t>, </a:t>
                    </a:r>
                    <a:fld id="{189B28C0-17C5-4D15-95E8-670A7C1CF81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473F-42BC-9055-2061C7BF4A5B}"/>
                </c:ext>
              </c:extLst>
            </c:dLbl>
            <c:dLbl>
              <c:idx val="21"/>
              <c:layout>
                <c:manualLayout>
                  <c:x val="1.1721611721611668E-2"/>
                  <c:y val="-4.0353086327961286E-2"/>
                </c:manualLayout>
              </c:layout>
              <c:tx>
                <c:rich>
                  <a:bodyPr/>
                  <a:lstStyle/>
                  <a:p>
                    <a:fld id="{B0DB0D2B-AD49-4BF1-8105-E894198A7A25}" type="CELLRANGE">
                      <a:rPr lang="en-US" baseline="0"/>
                      <a:pPr/>
                      <a:t>[CELLRANGE]</a:t>
                    </a:fld>
                    <a:r>
                      <a:rPr lang="en-US" baseline="0"/>
                      <a:t>, </a:t>
                    </a:r>
                    <a:fld id="{28DC6A93-590B-4554-AFEF-238D1DBB14E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473F-42BC-9055-2061C7BF4A5B}"/>
                </c:ext>
              </c:extLst>
            </c:dLbl>
            <c:dLbl>
              <c:idx val="22"/>
              <c:layout>
                <c:manualLayout>
                  <c:x val="-8.8644688644688649E-2"/>
                  <c:y val="-7.061790107393226E-2"/>
                </c:manualLayout>
              </c:layout>
              <c:tx>
                <c:rich>
                  <a:bodyPr/>
                  <a:lstStyle/>
                  <a:p>
                    <a:fld id="{8068C8D6-D97C-4C29-9A8B-032CE7AEE5E6}" type="CELLRANGE">
                      <a:rPr lang="en-US" baseline="0"/>
                      <a:pPr/>
                      <a:t>[CELLRANGE]</a:t>
                    </a:fld>
                    <a:r>
                      <a:rPr lang="en-US" baseline="0"/>
                      <a:t>, </a:t>
                    </a:r>
                    <a:fld id="{1DB296F9-A814-4163-B6E3-1811B1BD399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473F-42BC-9055-2061C7BF4A5B}"/>
                </c:ext>
              </c:extLst>
            </c:dLbl>
            <c:dLbl>
              <c:idx val="23"/>
              <c:layout>
                <c:manualLayout>
                  <c:x val="-4.429999769090474E-3"/>
                  <c:y val="-3.1352580927384077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473F-42BC-9055-2061C7BF4A5B}"/>
                </c:ext>
              </c:extLst>
            </c:dLbl>
            <c:dLbl>
              <c:idx val="24"/>
              <c:layout>
                <c:manualLayout>
                  <c:x val="-1.9280947652804395E-5"/>
                  <c:y val="3.7392825896762905E-2"/>
                </c:manualLayout>
              </c:layout>
              <c:tx>
                <c:rich>
                  <a:bodyPr/>
                  <a:lstStyle/>
                  <a:p>
                    <a:fld id="{46F262C0-5E50-4A26-906D-2F35F1427FB3}" type="CELLRANGE">
                      <a:rPr lang="en-US" baseline="0"/>
                      <a:pPr/>
                      <a:t>[CELLRANGE]</a:t>
                    </a:fld>
                    <a:r>
                      <a:rPr lang="en-US" baseline="0"/>
                      <a:t>, </a:t>
                    </a:r>
                    <a:fld id="{7C1B9AC2-D0D8-4E9A-BF27-94DDEEA7BFA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473F-42BC-9055-2061C7BF4A5B}"/>
                </c:ext>
              </c:extLst>
            </c:dLbl>
            <c:dLbl>
              <c:idx val="25"/>
              <c:layout>
                <c:manualLayout>
                  <c:x val="-2.7084766896806521E-2"/>
                  <c:y val="-9.3996659508470526E-2"/>
                </c:manualLayout>
              </c:layout>
              <c:tx>
                <c:rich>
                  <a:bodyPr/>
                  <a:lstStyle/>
                  <a:p>
                    <a:fld id="{D2A46AA7-A8F3-48CA-B6E4-C75439BE8112}" type="CELLRANGE">
                      <a:rPr lang="en-US" baseline="0"/>
                      <a:pPr/>
                      <a:t>[CELLRANGE]</a:t>
                    </a:fld>
                    <a:r>
                      <a:rPr lang="en-US" baseline="0"/>
                      <a:t>, </a:t>
                    </a:r>
                    <a:fld id="{67A2426B-ED11-4181-9482-3D342DE78B8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9-473F-42BC-9055-2061C7BF4A5B}"/>
                </c:ext>
              </c:extLst>
            </c:dLbl>
            <c:dLbl>
              <c:idx val="26"/>
              <c:layout>
                <c:manualLayout>
                  <c:x val="-1.4792065947768528E-3"/>
                  <c:y val="5.0507595641453837E-2"/>
                </c:manualLayout>
              </c:layout>
              <c:tx>
                <c:rich>
                  <a:bodyPr/>
                  <a:lstStyle/>
                  <a:p>
                    <a:fld id="{C5245249-06FC-4ADB-8FE4-7723B2BD5468}" type="CELLRANGE">
                      <a:rPr lang="en-US" baseline="0"/>
                      <a:pPr/>
                      <a:t>[CELLRANGE]</a:t>
                    </a:fld>
                    <a:r>
                      <a:rPr lang="en-US" baseline="0"/>
                      <a:t>, </a:t>
                    </a:r>
                    <a:fld id="{E4FDBA32-B034-437D-A31F-4A866065A5C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A-473F-42BC-9055-2061C7BF4A5B}"/>
                </c:ext>
              </c:extLst>
            </c:dLbl>
            <c:dLbl>
              <c:idx val="27"/>
              <c:layout>
                <c:manualLayout>
                  <c:x val="5.3492737894566642E-2"/>
                  <c:y val="-3.5364988467350672E-2"/>
                </c:manualLayout>
              </c:layout>
              <c:tx>
                <c:rich>
                  <a:bodyPr/>
                  <a:lstStyle/>
                  <a:p>
                    <a:fld id="{CF0074F0-1355-4841-A672-2496B4F1E3F2}" type="CELLRANGE">
                      <a:rPr lang="en-US" baseline="0"/>
                      <a:pPr/>
                      <a:t>[CELLRANGE]</a:t>
                    </a:fld>
                    <a:r>
                      <a:rPr lang="en-US" baseline="0"/>
                      <a:t>, </a:t>
                    </a:r>
                    <a:fld id="{24349249-D862-4E76-8F76-C04ACB0A1B4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473F-42BC-9055-2061C7BF4A5B}"/>
                </c:ext>
              </c:extLst>
            </c:dLbl>
            <c:dLbl>
              <c:idx val="28"/>
              <c:layout>
                <c:manualLayout>
                  <c:x val="3.231290553490198E-2"/>
                  <c:y val="1.8082398791060134E-2"/>
                </c:manualLayout>
              </c:layout>
              <c:tx>
                <c:rich>
                  <a:bodyPr/>
                  <a:lstStyle/>
                  <a:p>
                    <a:fld id="{5527A738-7A90-4A01-A837-6CD430F5B320}" type="CELLRANGE">
                      <a:rPr lang="en-US" baseline="0"/>
                      <a:pPr/>
                      <a:t>[CELLRANGE]</a:t>
                    </a:fld>
                    <a:r>
                      <a:rPr lang="en-US" baseline="0"/>
                      <a:t>, </a:t>
                    </a:r>
                    <a:fld id="{4C947D9B-DB32-4FB4-950A-20794B9AF60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C-473F-42BC-9055-2061C7BF4A5B}"/>
                </c:ext>
              </c:extLst>
            </c:dLbl>
            <c:dLbl>
              <c:idx val="29"/>
              <c:layout>
                <c:manualLayout>
                  <c:x val="-8.8714526519962131E-2"/>
                  <c:y val="0.13429634931997136"/>
                </c:manualLayout>
              </c:layout>
              <c:tx>
                <c:rich>
                  <a:bodyPr/>
                  <a:lstStyle/>
                  <a:p>
                    <a:fld id="{D4E07D81-D4C8-446B-B047-67A5EB2AFFFA}" type="CELLRANGE">
                      <a:rPr lang="en-US" baseline="0"/>
                      <a:pPr/>
                      <a:t>[CELLRANGE]</a:t>
                    </a:fld>
                    <a:r>
                      <a:rPr lang="en-US" baseline="0"/>
                      <a:t>, </a:t>
                    </a:r>
                    <a:fld id="{A715E7C0-A64E-441F-8EBF-8E42D7C5F3C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D-473F-42BC-9055-2061C7BF4A5B}"/>
                </c:ext>
              </c:extLst>
            </c:dLbl>
            <c:dLbl>
              <c:idx val="30"/>
              <c:layout>
                <c:manualLayout>
                  <c:x val="-9.8168498168498194E-2"/>
                  <c:y val="2.8247160429572829E-2"/>
                </c:manualLayout>
              </c:layout>
              <c:tx>
                <c:rich>
                  <a:bodyPr/>
                  <a:lstStyle/>
                  <a:p>
                    <a:fld id="{AD7972F6-6FE6-4C2A-A722-5590129D964A}" type="CELLRANGE">
                      <a:rPr lang="en-US" baseline="0"/>
                      <a:pPr/>
                      <a:t>[CELLRANGE]</a:t>
                    </a:fld>
                    <a:r>
                      <a:rPr lang="en-US" baseline="0"/>
                      <a:t>, </a:t>
                    </a:r>
                    <a:fld id="{9B118881-D3A6-4E70-A435-122653B9A4A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473F-42BC-9055-2061C7BF4A5B}"/>
                </c:ext>
              </c:extLst>
            </c:dLbl>
            <c:dLbl>
              <c:idx val="31"/>
              <c:layout>
                <c:manualLayout>
                  <c:x val="1.8315018315018316E-2"/>
                  <c:y val="0.16040351815364606"/>
                </c:manualLayout>
              </c:layout>
              <c:tx>
                <c:rich>
                  <a:bodyPr/>
                  <a:lstStyle/>
                  <a:p>
                    <a:fld id="{1E370FBB-F5B0-4223-98C5-9FE8E8C2A3A8}" type="CELLRANGE">
                      <a:rPr lang="en-US" baseline="0"/>
                      <a:pPr/>
                      <a:t>[CELLRANGE]</a:t>
                    </a:fld>
                    <a:r>
                      <a:rPr lang="en-US" baseline="0"/>
                      <a:t>, </a:t>
                    </a:r>
                    <a:fld id="{CD57B66F-CFA1-49DC-A889-20C3C7DC76C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473F-42BC-9055-2061C7BF4A5B}"/>
                </c:ext>
              </c:extLst>
            </c:dLbl>
            <c:dLbl>
              <c:idx val="32"/>
              <c:layout>
                <c:manualLayout>
                  <c:x val="-2.9465213475881498E-3"/>
                  <c:y val="-2.8198679710490733E-2"/>
                </c:manualLayout>
              </c:layout>
              <c:tx>
                <c:rich>
                  <a:bodyPr/>
                  <a:lstStyle/>
                  <a:p>
                    <a:fld id="{8579A744-85A3-4603-8772-729EB030A8AB}" type="CELLRANGE">
                      <a:rPr lang="en-US" baseline="0"/>
                      <a:pPr/>
                      <a:t>[CELLRANGE]</a:t>
                    </a:fld>
                    <a:r>
                      <a:rPr lang="en-US" baseline="0"/>
                      <a:t>, </a:t>
                    </a:r>
                    <a:fld id="{84816AB1-EEEA-48A8-8611-10FA708196F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0-473F-42BC-9055-2061C7BF4A5B}"/>
                </c:ext>
              </c:extLst>
            </c:dLbl>
            <c:dLbl>
              <c:idx val="33"/>
              <c:layout>
                <c:manualLayout>
                  <c:x val="-2.3382016764033502E-2"/>
                  <c:y val="-4.2411516742225368E-2"/>
                </c:manualLayout>
              </c:layout>
              <c:tx>
                <c:rich>
                  <a:bodyPr/>
                  <a:lstStyle/>
                  <a:p>
                    <a:fld id="{95A7B427-F2DE-4D54-B4ED-414F8DF1E4AC}" type="CELLRANGE">
                      <a:rPr lang="en-US" baseline="0"/>
                      <a:pPr/>
                      <a:t>[CELLRANGE]</a:t>
                    </a:fld>
                    <a:r>
                      <a:rPr lang="en-US" baseline="0"/>
                      <a:t>, </a:t>
                    </a:r>
                    <a:fld id="{7B6E11B2-60A3-4BC9-A765-316934BBE7F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1-473F-42BC-9055-2061C7BF4A5B}"/>
                </c:ext>
              </c:extLst>
            </c:dLbl>
            <c:dLbl>
              <c:idx val="34"/>
              <c:layout>
                <c:manualLayout>
                  <c:x val="1.098901098901099E-2"/>
                  <c:y val="-3.0264814745970967E-2"/>
                </c:manualLayout>
              </c:layout>
              <c:tx>
                <c:rich>
                  <a:bodyPr/>
                  <a:lstStyle/>
                  <a:p>
                    <a:fld id="{93CDA171-B2F3-4CA9-B768-075A1E9C5ADB}" type="CELLRANGE">
                      <a:rPr lang="en-US" baseline="0"/>
                      <a:pPr/>
                      <a:t>[CELLRANGE]</a:t>
                    </a:fld>
                    <a:r>
                      <a:rPr lang="en-US" baseline="0"/>
                      <a:t>, </a:t>
                    </a:r>
                    <a:fld id="{8C36007D-E2A7-42C4-81BF-887B35A1ED6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473F-42BC-9055-2061C7BF4A5B}"/>
                </c:ext>
              </c:extLst>
            </c:dLbl>
            <c:dLbl>
              <c:idx val="35"/>
              <c:layout>
                <c:manualLayout>
                  <c:x val="9.5293947860622993E-2"/>
                  <c:y val="2.0558339298496777E-3"/>
                </c:manualLayout>
              </c:layout>
              <c:tx>
                <c:rich>
                  <a:bodyPr/>
                  <a:lstStyle/>
                  <a:p>
                    <a:fld id="{956E328B-96BB-46B1-9C35-5CE91AEC3F8D}" type="CELLRANGE">
                      <a:rPr lang="en-US" baseline="0"/>
                      <a:pPr/>
                      <a:t>[CELLRANGE]</a:t>
                    </a:fld>
                    <a:r>
                      <a:rPr lang="en-US" baseline="0"/>
                      <a:t>, </a:t>
                    </a:r>
                    <a:fld id="{90BE94C5-D65E-40D2-9FB7-558A771A41E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473F-42BC-9055-2061C7BF4A5B}"/>
                </c:ext>
              </c:extLst>
            </c:dLbl>
            <c:dLbl>
              <c:idx val="36"/>
              <c:layout>
                <c:manualLayout>
                  <c:x val="-3.9575472787309211E-2"/>
                  <c:y val="0.14330947267955141"/>
                </c:manualLayout>
              </c:layout>
              <c:tx>
                <c:rich>
                  <a:bodyPr/>
                  <a:lstStyle/>
                  <a:p>
                    <a:fld id="{3D4EFC82-FCED-4E68-832E-FC041B521C4A}" type="CELLRANGE">
                      <a:rPr lang="en-US" baseline="0"/>
                      <a:pPr/>
                      <a:t>[CELLRANGE]</a:t>
                    </a:fld>
                    <a:r>
                      <a:rPr lang="en-US" baseline="0"/>
                      <a:t>, </a:t>
                    </a:r>
                    <a:fld id="{A790E523-29E9-4115-B4D2-95FDC7C0CB9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4-473F-42BC-9055-2061C7BF4A5B}"/>
                </c:ext>
              </c:extLst>
            </c:dLbl>
            <c:dLbl>
              <c:idx val="37"/>
              <c:layout>
                <c:manualLayout>
                  <c:x val="-8.7909922183480732E-2"/>
                  <c:y val="-5.862658076831305E-2"/>
                </c:manualLayout>
              </c:layout>
              <c:tx>
                <c:rich>
                  <a:bodyPr/>
                  <a:lstStyle/>
                  <a:p>
                    <a:fld id="{7C659CCB-BB6D-44A1-BF41-E52A15C25C90}" type="CELLRANGE">
                      <a:rPr lang="en-US" baseline="0"/>
                      <a:pPr/>
                      <a:t>[CELLRANGE]</a:t>
                    </a:fld>
                    <a:r>
                      <a:rPr lang="en-US" baseline="0"/>
                      <a:t>, </a:t>
                    </a:r>
                    <a:fld id="{F45ACE35-ABBA-44C5-ADE8-11A742A33A1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5-473F-42BC-9055-2061C7BF4A5B}"/>
                </c:ext>
              </c:extLst>
            </c:dLbl>
            <c:dLbl>
              <c:idx val="38"/>
              <c:layout>
                <c:manualLayout>
                  <c:x val="-3.685547371094769E-3"/>
                  <c:y val="-1.4136323868607333E-2"/>
                </c:manualLayout>
              </c:layout>
              <c:tx>
                <c:rich>
                  <a:bodyPr/>
                  <a:lstStyle/>
                  <a:p>
                    <a:fld id="{6992BF7A-E182-4314-950B-F392A5803694}" type="CELLRANGE">
                      <a:rPr lang="en-US" baseline="0"/>
                      <a:pPr/>
                      <a:t>[CELLRANGE]</a:t>
                    </a:fld>
                    <a:r>
                      <a:rPr lang="en-US" baseline="0"/>
                      <a:t>, </a:t>
                    </a:r>
                    <a:fld id="{CF7150C6-5570-4586-9D56-130C037F98D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473F-42BC-9055-2061C7BF4A5B}"/>
                </c:ext>
              </c:extLst>
            </c:dLbl>
            <c:dLbl>
              <c:idx val="39"/>
              <c:layout>
                <c:manualLayout>
                  <c:x val="-8.8298658415498776E-3"/>
                  <c:y val="8.3870198043426394E-2"/>
                </c:manualLayout>
              </c:layout>
              <c:tx>
                <c:rich>
                  <a:bodyPr/>
                  <a:lstStyle/>
                  <a:p>
                    <a:fld id="{9AA310EF-B5C7-4AC2-8160-EB335CDDA20E}" type="CELLRANGE">
                      <a:rPr lang="en-US" baseline="0"/>
                      <a:pPr/>
                      <a:t>[CELLRANGE]</a:t>
                    </a:fld>
                    <a:r>
                      <a:rPr lang="en-US" baseline="0"/>
                      <a:t>, </a:t>
                    </a:r>
                    <a:fld id="{26759628-2D1A-4FEB-96B5-0D76B6A2F57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473F-42BC-9055-2061C7BF4A5B}"/>
                </c:ext>
              </c:extLst>
            </c:dLbl>
            <c:dLbl>
              <c:idx val="40"/>
              <c:layout>
                <c:manualLayout>
                  <c:x val="-8.0049414644283827E-3"/>
                  <c:y val="-1.9233277658474508E-3"/>
                </c:manualLayout>
              </c:layout>
              <c:tx>
                <c:rich>
                  <a:bodyPr/>
                  <a:lstStyle/>
                  <a:p>
                    <a:fld id="{3FDC5653-1BD3-42ED-B434-EBEC1929C56B}" type="CELLRANGE">
                      <a:rPr lang="en-US" baseline="0"/>
                      <a:pPr/>
                      <a:t>[CELLRANGE]</a:t>
                    </a:fld>
                    <a:r>
                      <a:rPr lang="en-US" baseline="0"/>
                      <a:t>, </a:t>
                    </a:r>
                    <a:fld id="{D7866E94-89CD-4E5F-BB4D-75EA399A01D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8-473F-42BC-9055-2061C7BF4A5B}"/>
                </c:ext>
              </c:extLst>
            </c:dLbl>
            <c:dLbl>
              <c:idx val="41"/>
              <c:layout>
                <c:manualLayout>
                  <c:x val="2.349054425381578E-2"/>
                  <c:y val="7.8711524695776663E-2"/>
                </c:manualLayout>
              </c:layout>
              <c:tx>
                <c:rich>
                  <a:bodyPr/>
                  <a:lstStyle/>
                  <a:p>
                    <a:fld id="{F90A3455-1C9F-451E-B430-B437A0D861A9}" type="CELLRANGE">
                      <a:rPr lang="en-US" baseline="0"/>
                      <a:pPr/>
                      <a:t>[CELLRANGE]</a:t>
                    </a:fld>
                    <a:r>
                      <a:rPr lang="en-US" baseline="0"/>
                      <a:t>, </a:t>
                    </a:r>
                    <a:fld id="{2F97C9AE-01EC-4121-9F55-3788EB642C9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9-473F-42BC-9055-2061C7BF4A5B}"/>
                </c:ext>
              </c:extLst>
            </c:dLbl>
            <c:dLbl>
              <c:idx val="42"/>
              <c:layout>
                <c:manualLayout>
                  <c:x val="3.2965917750017316E-2"/>
                  <c:y val="-2.9628569156128952E-3"/>
                </c:manualLayout>
              </c:layout>
              <c:tx>
                <c:rich>
                  <a:bodyPr/>
                  <a:lstStyle/>
                  <a:p>
                    <a:fld id="{FA462035-DA1F-41CC-9000-5871490A4FA2}" type="CELLRANGE">
                      <a:rPr lang="en-US" baseline="0"/>
                      <a:pPr/>
                      <a:t>[CELLRANGE]</a:t>
                    </a:fld>
                    <a:r>
                      <a:rPr lang="en-US" baseline="0"/>
                      <a:t>, </a:t>
                    </a:r>
                    <a:fld id="{194FD501-F3C1-410F-8D24-6EA8B38EA27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A-473F-42BC-9055-2061C7BF4A5B}"/>
                </c:ext>
              </c:extLst>
            </c:dLbl>
            <c:dLbl>
              <c:idx val="43"/>
              <c:layout>
                <c:manualLayout>
                  <c:x val="-5.1278777103008752E-2"/>
                  <c:y val="-8.0774994034836553E-2"/>
                </c:manualLayout>
              </c:layout>
              <c:tx>
                <c:rich>
                  <a:bodyPr/>
                  <a:lstStyle/>
                  <a:p>
                    <a:fld id="{A44DB3D1-B473-481A-A282-D43272C6B00C}" type="CELLRANGE">
                      <a:rPr lang="en-US" baseline="0"/>
                      <a:pPr/>
                      <a:t>[CELLRANGE]</a:t>
                    </a:fld>
                    <a:r>
                      <a:rPr lang="en-US" baseline="0"/>
                      <a:t>, </a:t>
                    </a:r>
                    <a:fld id="{742E9245-4300-4522-969C-9DDAD7CA3D7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B-473F-42BC-9055-2061C7BF4A5B}"/>
                </c:ext>
              </c:extLst>
            </c:dLbl>
            <c:dLbl>
              <c:idx val="44"/>
              <c:layout>
                <c:manualLayout>
                  <c:x val="1.6117216117216119E-2"/>
                  <c:y val="-5.8511975175543872E-2"/>
                </c:manualLayout>
              </c:layout>
              <c:tx>
                <c:rich>
                  <a:bodyPr/>
                  <a:lstStyle/>
                  <a:p>
                    <a:fld id="{1DEFEC03-D7B8-4245-A354-A57CB47FDF4B}" type="CELLRANGE">
                      <a:rPr lang="en-US" baseline="0"/>
                      <a:pPr/>
                      <a:t>[CELLRANGE]</a:t>
                    </a:fld>
                    <a:r>
                      <a:rPr lang="en-US" baseline="0"/>
                      <a:t>, </a:t>
                    </a:r>
                    <a:fld id="{79B16E75-5CA6-4BE4-A0CE-5C695F87853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C-473F-42BC-9055-2061C7BF4A5B}"/>
                </c:ext>
              </c:extLst>
            </c:dLbl>
            <c:dLbl>
              <c:idx val="45"/>
              <c:layout>
                <c:manualLayout>
                  <c:x val="-7.9928648948206962E-2"/>
                  <c:y val="-1.1120019088523026E-2"/>
                </c:manualLayout>
              </c:layout>
              <c:tx>
                <c:rich>
                  <a:bodyPr/>
                  <a:lstStyle/>
                  <a:p>
                    <a:fld id="{9C0A309B-050C-4E96-94B4-A5278D1BD37E}" type="CELLRANGE">
                      <a:rPr lang="en-US" baseline="0"/>
                      <a:pPr/>
                      <a:t>[CELLRANGE]</a:t>
                    </a:fld>
                    <a:r>
                      <a:rPr lang="en-US" baseline="0"/>
                      <a:t>, </a:t>
                    </a:r>
                    <a:fld id="{6F67E767-2C3D-4375-94FD-6DC5A52DB7D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D-473F-42BC-9055-2061C7BF4A5B}"/>
                </c:ext>
              </c:extLst>
            </c:dLbl>
            <c:dLbl>
              <c:idx val="46"/>
              <c:tx>
                <c:rich>
                  <a:bodyPr/>
                  <a:lstStyle/>
                  <a:p>
                    <a:fld id="{10BCA2E1-8C91-4AC4-B754-99FCB53C6575}" type="CELLRANGE">
                      <a:rPr lang="en-US"/>
                      <a:pPr/>
                      <a:t>[CELLRANGE]</a:t>
                    </a:fld>
                    <a:r>
                      <a:rPr lang="en-US" baseline="0"/>
                      <a:t>, </a:t>
                    </a:r>
                    <a:fld id="{54FD47E4-CD14-4ADD-BE4A-23FB938BDBF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73F-42BC-9055-2061C7BF4A5B}"/>
                </c:ext>
              </c:extLst>
            </c:dLbl>
            <c:dLbl>
              <c:idx val="47"/>
              <c:layout>
                <c:manualLayout>
                  <c:x val="5.128205128205128E-2"/>
                  <c:y val="-9.1803271396111968E-2"/>
                </c:manualLayout>
              </c:layout>
              <c:tx>
                <c:rich>
                  <a:bodyPr/>
                  <a:lstStyle/>
                  <a:p>
                    <a:fld id="{12C9D403-5BB4-434B-855F-E504B0D83445}" type="CELLRANGE">
                      <a:rPr lang="en-US" baseline="0"/>
                      <a:pPr/>
                      <a:t>[CELLRANGE]</a:t>
                    </a:fld>
                    <a:r>
                      <a:rPr lang="en-US" baseline="0"/>
                      <a:t>, </a:t>
                    </a:r>
                    <a:fld id="{94A43BD4-E663-4571-9FFB-0FCA240B28D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473F-42BC-9055-2061C7BF4A5B}"/>
                </c:ext>
              </c:extLst>
            </c:dLbl>
            <c:dLbl>
              <c:idx val="48"/>
              <c:layout>
                <c:manualLayout>
                  <c:x val="3.2238783568476176E-2"/>
                  <c:y val="6.6684482621490418E-2"/>
                </c:manualLayout>
              </c:layout>
              <c:tx>
                <c:rich>
                  <a:bodyPr/>
                  <a:lstStyle/>
                  <a:p>
                    <a:fld id="{A1A9B52F-FFC8-4A10-8932-F6FCF1188EC4}" type="CELLRANGE">
                      <a:rPr lang="en-US" baseline="0"/>
                      <a:pPr/>
                      <a:t>[CELLRANGE]</a:t>
                    </a:fld>
                    <a:r>
                      <a:rPr lang="en-US" baseline="0"/>
                      <a:t>, </a:t>
                    </a:r>
                    <a:fld id="{F35D0BD3-9C21-42E6-B636-8E1FC68BBB2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0-473F-42BC-9055-2061C7BF4A5B}"/>
                </c:ext>
              </c:extLst>
            </c:dLbl>
            <c:dLbl>
              <c:idx val="49"/>
              <c:layout>
                <c:manualLayout>
                  <c:x val="1.4640820190731292E-3"/>
                  <c:y val="-1.2075399665950922E-2"/>
                </c:manualLayout>
              </c:layout>
              <c:tx>
                <c:rich>
                  <a:bodyPr/>
                  <a:lstStyle/>
                  <a:p>
                    <a:fld id="{9E1668B4-3008-4FE9-BE0C-8E6791C4962D}" type="CELLRANGE">
                      <a:rPr lang="en-US" baseline="0"/>
                      <a:pPr/>
                      <a:t>[CELLRANGE]</a:t>
                    </a:fld>
                    <a:r>
                      <a:rPr lang="en-US" baseline="0"/>
                      <a:t>, </a:t>
                    </a:r>
                    <a:fld id="{A97C97C5-F901-4EEF-A05E-C70BF3A4EC6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1-473F-42BC-9055-2061C7BF4A5B}"/>
                </c:ext>
              </c:extLst>
            </c:dLbl>
            <c:dLbl>
              <c:idx val="50"/>
              <c:layout>
                <c:manualLayout>
                  <c:x val="2.8661648232387375E-2"/>
                  <c:y val="9.8875208780720591E-2"/>
                </c:manualLayout>
              </c:layout>
              <c:tx>
                <c:rich>
                  <a:bodyPr/>
                  <a:lstStyle/>
                  <a:p>
                    <a:fld id="{FFDCDD42-0F05-45BF-A706-DA4A54A2DA0F}" type="CELLRANGE">
                      <a:rPr lang="en-US" baseline="0"/>
                      <a:pPr/>
                      <a:t>[CELLRANGE]</a:t>
                    </a:fld>
                    <a:r>
                      <a:rPr lang="en-US" baseline="0"/>
                      <a:t>, </a:t>
                    </a:r>
                    <a:fld id="{15A99982-C6C6-448D-863B-833831B4E4F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2-473F-42BC-9055-2061C7BF4A5B}"/>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Model'!$S$16:$S$66</c:f>
              <c:numCache>
                <c:formatCode>0%</c:formatCode>
                <c:ptCount val="51"/>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3-473F-42BC-9055-2061C7BF4A5B}"/>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PepsiCo U.S. Locations, Highest </a:t>
            </a:r>
            <a:r>
              <a:rPr lang="en-US" sz="1400" b="1" i="0" u="none" strike="noStrike" kern="1200" spc="0" baseline="0">
                <a:solidFill>
                  <a:sysClr val="windowText" lastClr="000000">
                    <a:lumMod val="65000"/>
                    <a:lumOff val="35000"/>
                  </a:sysClr>
                </a:solidFill>
                <a:latin typeface="+mn-lt"/>
                <a:ea typeface="+mn-ea"/>
                <a:cs typeface="+mn-cs"/>
              </a:rPr>
              <a:t>Risk</a:t>
            </a:r>
            <a:r>
              <a:rPr lang="en-US" sz="1400" b="1"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 PEP'!$P$15</c:f>
              <c:strCache>
                <c:ptCount val="1"/>
                <c:pt idx="0">
                  <c:v>Test Positive Rate Current</c:v>
                </c:pt>
              </c:strCache>
            </c:strRef>
          </c:tx>
          <c:spPr>
            <a:noFill/>
            <a:ln w="19050">
              <a:solidFill>
                <a:schemeClr val="accent1"/>
              </a:solidFill>
            </a:ln>
            <a:effectLst/>
          </c:spPr>
          <c:invertIfNegative val="0"/>
          <c:dLbls>
            <c:dLbl>
              <c:idx val="0"/>
              <c:layout>
                <c:manualLayout>
                  <c:x val="-0.15835777126099707"/>
                  <c:y val="0.10101010101010094"/>
                </c:manualLayout>
              </c:layout>
              <c:tx>
                <c:rich>
                  <a:bodyPr/>
                  <a:lstStyle/>
                  <a:p>
                    <a:fld id="{C59015A7-9B02-4F04-BF46-514273AC5A3E}" type="CELLRANGE">
                      <a:rPr lang="en-US" baseline="0"/>
                      <a:pPr/>
                      <a:t>[CELLRANGE]</a:t>
                    </a:fld>
                    <a:r>
                      <a:rPr lang="en-US" baseline="0"/>
                      <a:t>, </a:t>
                    </a:r>
                    <a:fld id="{9D2B46B9-E86B-47D5-AB60-79A588C743D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7BAA-44D7-BF40-78366C1D5622}"/>
                </c:ext>
              </c:extLst>
            </c:dLbl>
            <c:dLbl>
              <c:idx val="1"/>
              <c:layout>
                <c:manualLayout>
                  <c:x val="-5.1318609000854366E-2"/>
                  <c:y val="-0.10201383917919352"/>
                </c:manualLayout>
              </c:layout>
              <c:tx>
                <c:rich>
                  <a:bodyPr/>
                  <a:lstStyle/>
                  <a:p>
                    <a:fld id="{B231C233-7E1E-494E-856F-EFFFAD8A32A7}" type="CELLRANGE">
                      <a:rPr lang="en-US" baseline="0"/>
                      <a:pPr/>
                      <a:t>[CELLRANGE]</a:t>
                    </a:fld>
                    <a:r>
                      <a:rPr lang="en-US" baseline="0"/>
                      <a:t>, </a:t>
                    </a:r>
                    <a:fld id="{9F699827-BF6B-4570-A674-19DD245E4A2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7BAA-44D7-BF40-78366C1D5622}"/>
                </c:ext>
              </c:extLst>
            </c:dLbl>
            <c:dLbl>
              <c:idx val="2"/>
              <c:layout>
                <c:manualLayout>
                  <c:x val="-0.12317258179970905"/>
                  <c:y val="-9.7117473952119615E-2"/>
                </c:manualLayout>
              </c:layout>
              <c:tx>
                <c:rich>
                  <a:bodyPr/>
                  <a:lstStyle/>
                  <a:p>
                    <a:fld id="{1509DA5E-C8F4-4A46-BBBB-F1AC882E068C}" type="CELLRANGE">
                      <a:rPr lang="en-US" baseline="0"/>
                      <a:pPr/>
                      <a:t>[CELLRANGE]</a:t>
                    </a:fld>
                    <a:r>
                      <a:rPr lang="en-US" baseline="0"/>
                      <a:t>, </a:t>
                    </a:r>
                    <a:fld id="{A08AF802-590D-4EF6-B791-67B30D007EA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7BAA-44D7-BF40-78366C1D5622}"/>
                </c:ext>
              </c:extLst>
            </c:dLbl>
            <c:dLbl>
              <c:idx val="3"/>
              <c:layout>
                <c:manualLayout>
                  <c:x val="4.461172558708754E-3"/>
                  <c:y val="-2.4227153424003819E-2"/>
                </c:manualLayout>
              </c:layout>
              <c:tx>
                <c:rich>
                  <a:bodyPr/>
                  <a:lstStyle/>
                  <a:p>
                    <a:fld id="{7D402EC1-7EE4-4B4D-97C2-31D7102EC739}" type="CELLRANGE">
                      <a:rPr lang="en-US" baseline="0"/>
                      <a:pPr/>
                      <a:t>[CELLRANGE]</a:t>
                    </a:fld>
                    <a:r>
                      <a:rPr lang="en-US" baseline="0"/>
                      <a:t>, </a:t>
                    </a:r>
                    <a:fld id="{2493BB4A-4059-41E5-A2A1-D3CFAE05BEA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7BAA-44D7-BF40-78366C1D5622}"/>
                </c:ext>
              </c:extLst>
            </c:dLbl>
            <c:dLbl>
              <c:idx val="4"/>
              <c:layout>
                <c:manualLayout>
                  <c:x val="-1.0744686621274016E-16"/>
                  <c:y val="-3.2282469062369049E-2"/>
                </c:manualLayout>
              </c:layout>
              <c:tx>
                <c:rich>
                  <a:bodyPr/>
                  <a:lstStyle/>
                  <a:p>
                    <a:fld id="{A8CC8A84-681D-429E-BC1D-9862D095CCDC}" type="CELLRANGE">
                      <a:rPr lang="en-US" baseline="0"/>
                      <a:pPr/>
                      <a:t>[CELLRANGE]</a:t>
                    </a:fld>
                    <a:r>
                      <a:rPr lang="en-US" baseline="0"/>
                      <a:t>, </a:t>
                    </a:r>
                    <a:fld id="{D283EAC7-7B04-40D5-A100-0B4AAD5CB82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7BAA-44D7-BF40-78366C1D5622}"/>
                </c:ext>
              </c:extLst>
            </c:dLbl>
            <c:dLbl>
              <c:idx val="5"/>
              <c:layout>
                <c:manualLayout>
                  <c:x val="-0.15983478421502301"/>
                  <c:y val="-8.0604469895809213E-3"/>
                </c:manualLayout>
              </c:layout>
              <c:tx>
                <c:rich>
                  <a:bodyPr/>
                  <a:lstStyle/>
                  <a:p>
                    <a:fld id="{86B97DFC-2AD6-4947-8952-977C1D266BE3}" type="CELLRANGE">
                      <a:rPr lang="en-US" baseline="0"/>
                      <a:pPr/>
                      <a:t>[CELLRANGE]</a:t>
                    </a:fld>
                    <a:r>
                      <a:rPr lang="en-US" baseline="0"/>
                      <a:t>, </a:t>
                    </a:r>
                    <a:fld id="{6422D0DB-18A0-475C-ADB7-E63FAB3D8A3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7BAA-44D7-BF40-78366C1D5622}"/>
                </c:ext>
              </c:extLst>
            </c:dLbl>
            <c:dLbl>
              <c:idx val="6"/>
              <c:layout>
                <c:manualLayout>
                  <c:x val="-2.2007065832313481E-2"/>
                  <c:y val="-8.0861528672552335E-2"/>
                </c:manualLayout>
              </c:layout>
              <c:tx>
                <c:rich>
                  <a:bodyPr/>
                  <a:lstStyle/>
                  <a:p>
                    <a:fld id="{37566908-BF45-47FD-BB48-AEB0C990C7EF}" type="CELLRANGE">
                      <a:rPr lang="en-US" baseline="0"/>
                      <a:pPr/>
                      <a:t>[CELLRANGE]</a:t>
                    </a:fld>
                    <a:r>
                      <a:rPr lang="en-US" baseline="0"/>
                      <a:t>, </a:t>
                    </a:r>
                    <a:fld id="{3D7B83D8-D5BB-4D0F-A4E1-9E3AA9391DC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7BAA-44D7-BF40-78366C1D5622}"/>
                </c:ext>
              </c:extLst>
            </c:dLbl>
            <c:dLbl>
              <c:idx val="7"/>
              <c:layout>
                <c:manualLayout>
                  <c:x val="-3.3724340175953077E-2"/>
                  <c:y val="8.8888888888888892E-2"/>
                </c:manualLayout>
              </c:layout>
              <c:tx>
                <c:rich>
                  <a:bodyPr/>
                  <a:lstStyle/>
                  <a:p>
                    <a:fld id="{5E51AA7F-94BA-462E-B0EA-EE27A64F3827}" type="CELLRANGE">
                      <a:rPr lang="en-US" baseline="0"/>
                      <a:pPr/>
                      <a:t>[CELLRANGE]</a:t>
                    </a:fld>
                    <a:r>
                      <a:rPr lang="en-US" baseline="0"/>
                      <a:t>, </a:t>
                    </a:r>
                    <a:fld id="{537B3B55-E89F-4A65-ADD1-AE1766E5FE4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7BAA-44D7-BF40-78366C1D5622}"/>
                </c:ext>
              </c:extLst>
            </c:dLbl>
            <c:dLbl>
              <c:idx val="8"/>
              <c:layout>
                <c:manualLayout>
                  <c:x val="-1.0301567875863024E-2"/>
                  <c:y val="6.861815000397678E-2"/>
                </c:manualLayout>
              </c:layout>
              <c:tx>
                <c:rich>
                  <a:bodyPr/>
                  <a:lstStyle/>
                  <a:p>
                    <a:fld id="{6753E3F8-D8C2-497D-97EE-9EC28441C724}" type="CELLRANGE">
                      <a:rPr lang="en-US" baseline="0"/>
                      <a:pPr/>
                      <a:t>[CELLRANGE]</a:t>
                    </a:fld>
                    <a:r>
                      <a:rPr lang="en-US" baseline="0"/>
                      <a:t>, </a:t>
                    </a:r>
                    <a:fld id="{21046FBF-8BE7-458B-BBCF-5DCB699C3E5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7BAA-44D7-BF40-78366C1D5622}"/>
                </c:ext>
              </c:extLst>
            </c:dLbl>
            <c:dLbl>
              <c:idx val="9"/>
              <c:layout>
                <c:manualLayout>
                  <c:x val="-0.15173101346202694"/>
                  <c:y val="-4.8989103634772928E-3"/>
                </c:manualLayout>
              </c:layout>
              <c:tx>
                <c:rich>
                  <a:bodyPr/>
                  <a:lstStyle/>
                  <a:p>
                    <a:fld id="{B7802086-E3B2-4605-83B5-B09ACA9094A8}" type="CELLRANGE">
                      <a:rPr lang="en-US" baseline="0"/>
                      <a:pPr/>
                      <a:t>[CELLRANGE]</a:t>
                    </a:fld>
                    <a:r>
                      <a:rPr lang="en-US" baseline="0"/>
                      <a:t>, </a:t>
                    </a:r>
                    <a:fld id="{2ED910C8-1A0A-4A25-97ED-31155C8569A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7BAA-44D7-BF40-78366C1D5622}"/>
                </c:ext>
              </c:extLst>
            </c:dLbl>
            <c:dLbl>
              <c:idx val="10"/>
              <c:layout>
                <c:manualLayout>
                  <c:x val="-9.3869582284619113E-2"/>
                  <c:y val="6.673793048596198E-2"/>
                </c:manualLayout>
              </c:layout>
              <c:tx>
                <c:rich>
                  <a:bodyPr/>
                  <a:lstStyle/>
                  <a:p>
                    <a:fld id="{BBAED78D-F853-4A73-BAF6-F90B7C04393B}" type="CELLRANGE">
                      <a:rPr lang="en-US" baseline="0"/>
                      <a:pPr/>
                      <a:t>[CELLRANGE]</a:t>
                    </a:fld>
                    <a:r>
                      <a:rPr lang="en-US" baseline="0"/>
                      <a:t>, </a:t>
                    </a:r>
                    <a:fld id="{4DAF222B-674B-47D9-A39D-364F65BD858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7BAA-44D7-BF40-78366C1D5622}"/>
                </c:ext>
              </c:extLst>
            </c:dLbl>
            <c:dLbl>
              <c:idx val="11"/>
              <c:layout>
                <c:manualLayout>
                  <c:x val="-4.8383864040455353E-2"/>
                  <c:y val="0.10309393144038813"/>
                </c:manualLayout>
              </c:layout>
              <c:tx>
                <c:rich>
                  <a:bodyPr/>
                  <a:lstStyle/>
                  <a:p>
                    <a:fld id="{3A57862B-4FAF-4FDF-B092-56013DA4ED47}" type="CELLRANGE">
                      <a:rPr lang="en-US" baseline="0"/>
                      <a:pPr/>
                      <a:t>[CELLRANGE]</a:t>
                    </a:fld>
                    <a:r>
                      <a:rPr lang="en-US" baseline="0"/>
                      <a:t>, </a:t>
                    </a:r>
                    <a:fld id="{0CBC7CB8-5037-457A-8B32-9C9BEB9B99B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7BAA-44D7-BF40-78366C1D5622}"/>
                </c:ext>
              </c:extLst>
            </c:dLbl>
            <c:dLbl>
              <c:idx val="12"/>
              <c:layout>
                <c:manualLayout>
                  <c:x val="-4.3998660724594175E-3"/>
                  <c:y val="-6.0639147379304863E-2"/>
                </c:manualLayout>
              </c:layout>
              <c:tx>
                <c:rich>
                  <a:bodyPr/>
                  <a:lstStyle/>
                  <a:p>
                    <a:fld id="{5ED640A6-6636-4660-A235-52600D63BE52}" type="CELLRANGE">
                      <a:rPr lang="en-US" baseline="0"/>
                      <a:pPr/>
                      <a:t>[CELLRANGE]</a:t>
                    </a:fld>
                    <a:r>
                      <a:rPr lang="en-US" baseline="0"/>
                      <a:t>, </a:t>
                    </a:r>
                    <a:fld id="{16FF58B3-79AD-4D6F-AC0D-51CB3566174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7BAA-44D7-BF40-78366C1D5622}"/>
                </c:ext>
              </c:extLst>
            </c:dLbl>
            <c:dLbl>
              <c:idx val="13"/>
              <c:layout>
                <c:manualLayout>
                  <c:x val="1.4727411273004363E-3"/>
                  <c:y val="-4.5509265887218646E-2"/>
                </c:manualLayout>
              </c:layout>
              <c:tx>
                <c:rich>
                  <a:bodyPr/>
                  <a:lstStyle/>
                  <a:p>
                    <a:fld id="{7AFB6E81-06A5-4D87-B8AD-89DBBE410CD1}" type="CELLRANGE">
                      <a:rPr lang="en-US" baseline="0"/>
                      <a:pPr/>
                      <a:t>[CELLRANGE]</a:t>
                    </a:fld>
                    <a:r>
                      <a:rPr lang="en-US" baseline="0"/>
                      <a:t>, </a:t>
                    </a:r>
                    <a:fld id="{28792A99-2BB1-4DB7-B502-7703A6CB342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7BAA-44D7-BF40-78366C1D5622}"/>
                </c:ext>
              </c:extLst>
            </c:dLbl>
            <c:dLbl>
              <c:idx val="14"/>
              <c:layout>
                <c:manualLayout>
                  <c:x val="3.7365899277253097E-2"/>
                  <c:y val="-8.7895331265410007E-2"/>
                </c:manualLayout>
              </c:layout>
              <c:tx>
                <c:rich>
                  <a:bodyPr/>
                  <a:lstStyle/>
                  <a:p>
                    <a:fld id="{A36A8A44-7A2F-4B14-9938-9BE659077F28}" type="CELLRANGE">
                      <a:rPr lang="en-US" baseline="0"/>
                      <a:pPr/>
                      <a:t>[CELLRANGE]</a:t>
                    </a:fld>
                    <a:r>
                      <a:rPr lang="en-US" baseline="0"/>
                      <a:t>, </a:t>
                    </a:r>
                    <a:fld id="{1BE3A43F-6083-43DA-B952-BB3996F2A0F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7BAA-44D7-BF40-78366C1D5622}"/>
                </c:ext>
              </c:extLst>
            </c:dLbl>
            <c:dLbl>
              <c:idx val="15"/>
              <c:layout>
                <c:manualLayout>
                  <c:x val="-1.4652014652015728E-3"/>
                  <c:y val="1.2105925898388313E-2"/>
                </c:manualLayout>
              </c:layout>
              <c:tx>
                <c:rich>
                  <a:bodyPr/>
                  <a:lstStyle/>
                  <a:p>
                    <a:fld id="{B7967449-D505-4B82-8322-4C58F4BCCBE8}" type="CELLRANGE">
                      <a:rPr lang="en-US" baseline="0"/>
                      <a:pPr/>
                      <a:t>[CELLRANGE]</a:t>
                    </a:fld>
                    <a:r>
                      <a:rPr lang="en-US" baseline="0"/>
                      <a:t>, </a:t>
                    </a:r>
                    <a:fld id="{72F23C92-1B33-4B37-94A4-74178CC65A1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7BAA-44D7-BF40-78366C1D5622}"/>
                </c:ext>
              </c:extLst>
            </c:dLbl>
            <c:dLbl>
              <c:idx val="16"/>
              <c:layout>
                <c:manualLayout>
                  <c:x val="0.10710577966610474"/>
                  <c:y val="-7.8848962061560487E-2"/>
                </c:manualLayout>
              </c:layout>
              <c:tx>
                <c:rich>
                  <a:bodyPr/>
                  <a:lstStyle/>
                  <a:p>
                    <a:fld id="{27681C02-3D2C-49C9-A4B6-41F4FCCE17FD}" type="CELLRANGE">
                      <a:rPr lang="en-US" baseline="0"/>
                      <a:pPr/>
                      <a:t>[CELLRANGE]</a:t>
                    </a:fld>
                    <a:r>
                      <a:rPr lang="en-US" baseline="0"/>
                      <a:t>, </a:t>
                    </a:r>
                    <a:fld id="{F05A6120-E55B-43AC-B208-3540F48A7A4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7BAA-44D7-BF40-78366C1D5622}"/>
                </c:ext>
              </c:extLst>
            </c:dLbl>
            <c:dLbl>
              <c:idx val="17"/>
              <c:layout>
                <c:manualLayout>
                  <c:x val="-1.4909829819659908E-3"/>
                  <c:y val="-1.2189930804104033E-2"/>
                </c:manualLayout>
              </c:layout>
              <c:tx>
                <c:rich>
                  <a:bodyPr/>
                  <a:lstStyle/>
                  <a:p>
                    <a:fld id="{A40C6DF5-D2C4-40B0-97AD-CE201BDFFCC6}" type="CELLRANGE">
                      <a:rPr lang="en-US" baseline="0"/>
                      <a:pPr/>
                      <a:t>[CELLRANGE]</a:t>
                    </a:fld>
                    <a:r>
                      <a:rPr lang="en-US" baseline="0"/>
                      <a:t>, </a:t>
                    </a:r>
                    <a:fld id="{27DE744A-7A3E-4007-ACB8-3762DDA51ED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7BAA-44D7-BF40-78366C1D5622}"/>
                </c:ext>
              </c:extLst>
            </c:dLbl>
            <c:dLbl>
              <c:idx val="18"/>
              <c:layout>
                <c:manualLayout>
                  <c:x val="1.0253192324566467E-2"/>
                  <c:y val="-6.9547442933270446E-3"/>
                </c:manualLayout>
              </c:layout>
              <c:tx>
                <c:rich>
                  <a:bodyPr/>
                  <a:lstStyle/>
                  <a:p>
                    <a:fld id="{B2FC39FB-D4B7-47E3-8745-DF24EE291031}" type="CELLRANGE">
                      <a:rPr lang="en-US" baseline="0"/>
                      <a:pPr/>
                      <a:t>[CELLRANGE]</a:t>
                    </a:fld>
                    <a:r>
                      <a:rPr lang="en-US" baseline="0"/>
                      <a:t>, </a:t>
                    </a:r>
                    <a:fld id="{4CCBC986-0A1F-4784-8AC2-406605811BE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7BAA-44D7-BF40-78366C1D5622}"/>
                </c:ext>
              </c:extLst>
            </c:dLbl>
            <c:dLbl>
              <c:idx val="19"/>
              <c:layout>
                <c:manualLayout>
                  <c:x val="-0.10556007112014223"/>
                  <c:y val="-0.11711317903443889"/>
                </c:manualLayout>
              </c:layout>
              <c:tx>
                <c:rich>
                  <a:bodyPr/>
                  <a:lstStyle/>
                  <a:p>
                    <a:fld id="{C72EA54A-3C5A-4569-A7C0-93BEA0F0419C}" type="CELLRANGE">
                      <a:rPr lang="en-US" baseline="0"/>
                      <a:pPr/>
                      <a:t>[CELLRANGE]</a:t>
                    </a:fld>
                    <a:r>
                      <a:rPr lang="en-US" baseline="0"/>
                      <a:t>, </a:t>
                    </a:r>
                    <a:fld id="{C04BEA43-ABBF-4D89-822B-92395657086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7BAA-44D7-BF40-78366C1D5622}"/>
                </c:ext>
              </c:extLst>
            </c:dLbl>
            <c:dLbl>
              <c:idx val="20"/>
              <c:layout>
                <c:manualLayout>
                  <c:x val="5.2044704089408179E-3"/>
                  <c:y val="0.15161457090590949"/>
                </c:manualLayout>
              </c:layout>
              <c:tx>
                <c:rich>
                  <a:bodyPr/>
                  <a:lstStyle/>
                  <a:p>
                    <a:fld id="{B5FCEA39-289B-420E-A59D-595A5D082990}" type="CELLRANGE">
                      <a:rPr lang="en-US" baseline="0"/>
                      <a:pPr/>
                      <a:t>[CELLRANGE]</a:t>
                    </a:fld>
                    <a:r>
                      <a:rPr lang="en-US" baseline="0"/>
                      <a:t>, </a:t>
                    </a:r>
                    <a:fld id="{DB0BFD76-7CC3-480F-AAB2-EFF01CF8D50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7BAA-44D7-BF40-78366C1D5622}"/>
                </c:ext>
              </c:extLst>
            </c:dLbl>
            <c:dLbl>
              <c:idx val="21"/>
              <c:layout>
                <c:manualLayout>
                  <c:x val="-0.14663610963585566"/>
                  <c:y val="-2.4191521514356159E-2"/>
                </c:manualLayout>
              </c:layout>
              <c:tx>
                <c:rich>
                  <a:bodyPr/>
                  <a:lstStyle/>
                  <a:p>
                    <a:fld id="{463E3448-579F-4758-8965-AEFAE52C6D29}" type="CELLRANGE">
                      <a:rPr lang="en-US" baseline="0"/>
                      <a:pPr/>
                      <a:t>[CELLRANGE]</a:t>
                    </a:fld>
                    <a:r>
                      <a:rPr lang="en-US" baseline="0"/>
                      <a:t>, </a:t>
                    </a:r>
                    <a:fld id="{73F8C703-F907-4BC0-8960-00EE19119DF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7BAA-44D7-BF40-78366C1D5622}"/>
                </c:ext>
              </c:extLst>
            </c:dLbl>
            <c:dLbl>
              <c:idx val="22"/>
              <c:layout>
                <c:manualLayout>
                  <c:x val="1.6927171127069526E-2"/>
                  <c:y val="-7.6678437922532414E-2"/>
                </c:manualLayout>
              </c:layout>
              <c:tx>
                <c:rich>
                  <a:bodyPr/>
                  <a:lstStyle/>
                  <a:p>
                    <a:fld id="{33166CE9-CEF3-44AC-8AB6-C6E311C46974}" type="CELLRANGE">
                      <a:rPr lang="en-US" baseline="0"/>
                      <a:pPr/>
                      <a:t>[CELLRANGE]</a:t>
                    </a:fld>
                    <a:r>
                      <a:rPr lang="en-US" baseline="0"/>
                      <a:t>, </a:t>
                    </a:r>
                    <a:fld id="{33AB7A4A-B3E4-4558-9679-4632733F3E7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7BAA-44D7-BF40-78366C1D5622}"/>
                </c:ext>
              </c:extLst>
            </c:dLbl>
            <c:dLbl>
              <c:idx val="23"/>
              <c:layout>
                <c:manualLayout>
                  <c:x val="2.7828064747038583E-2"/>
                  <c:y val="4.5415095840292692E-2"/>
                </c:manualLayout>
              </c:layout>
              <c:tx>
                <c:rich>
                  <a:bodyPr/>
                  <a:lstStyle/>
                  <a:p>
                    <a:fld id="{682EB852-B0DA-425E-A75F-E4CA329A98C7}" type="CELLRANGE">
                      <a:rPr lang="en-US" baseline="0"/>
                      <a:pPr/>
                      <a:t>[CELLRANGE]</a:t>
                    </a:fld>
                    <a:r>
                      <a:rPr lang="en-US" baseline="0"/>
                      <a:t>, </a:t>
                    </a:r>
                    <a:fld id="{D42E8E0A-CB49-47C4-AFCB-FD12A2D8B74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7BAA-44D7-BF40-78366C1D5622}"/>
                </c:ext>
              </c:extLst>
            </c:dLbl>
            <c:dLbl>
              <c:idx val="24"/>
              <c:layout>
                <c:manualLayout>
                  <c:x val="2.6373626373626374E-2"/>
                  <c:y val="-1.513240737298548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7BAA-44D7-BF40-78366C1D5622}"/>
                </c:ext>
              </c:extLst>
            </c:dLbl>
            <c:dLbl>
              <c:idx val="25"/>
              <c:layout>
                <c:manualLayout>
                  <c:x val="-5.6410256410256411E-2"/>
                  <c:y val="4.539722211895645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7BAA-44D7-BF40-78366C1D5622}"/>
                </c:ext>
              </c:extLst>
            </c:dLbl>
            <c:dLbl>
              <c:idx val="26"/>
              <c:layout>
                <c:manualLayout>
                  <c:x val="1.7582417582417582E-2"/>
                  <c:y val="-2.0176543163980642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A-7BAA-44D7-BF40-78366C1D5622}"/>
                </c:ext>
              </c:extLst>
            </c:dLbl>
            <c:dLbl>
              <c:idx val="27"/>
              <c:layout>
                <c:manualLayout>
                  <c:x val="3.5897435897435895E-2"/>
                  <c:y val="9.0794444237912164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7BAA-44D7-BF40-78366C1D5622}"/>
                </c:ext>
              </c:extLst>
            </c:dLbl>
            <c:dLbl>
              <c:idx val="28"/>
              <c:layout>
                <c:manualLayout>
                  <c:x val="-7.4725274725274723E-2"/>
                  <c:y val="7.868851833952440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7BAA-44D7-BF40-78366C1D5622}"/>
                </c:ext>
              </c:extLst>
            </c:dLbl>
            <c:dLbl>
              <c:idx val="29"/>
              <c:layout>
                <c:manualLayout>
                  <c:x val="6.5934065934064858E-3"/>
                  <c:y val="3.732660485336412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7BAA-44D7-BF40-78366C1D5622}"/>
                </c:ext>
              </c:extLst>
            </c:dLbl>
            <c:dLbl>
              <c:idx val="30"/>
              <c:layout>
                <c:manualLayout>
                  <c:x val="-9.8168498168498194E-2"/>
                  <c:y val="2.8247160429572829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7BAA-44D7-BF40-78366C1D5622}"/>
                </c:ext>
              </c:extLst>
            </c:dLbl>
            <c:dLbl>
              <c:idx val="31"/>
              <c:layout>
                <c:manualLayout>
                  <c:x val="1.8315018315018316E-2"/>
                  <c:y val="0.16040351815364606"/>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7BAA-44D7-BF40-78366C1D5622}"/>
                </c:ext>
              </c:extLst>
            </c:dLbl>
            <c:dLbl>
              <c:idx val="32"/>
              <c:layout>
                <c:manualLayout>
                  <c:x val="1.9047619047619049E-2"/>
                  <c:y val="-6.6582592441136124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7BAA-44D7-BF40-78366C1D5622}"/>
                </c:ext>
              </c:extLst>
            </c:dLbl>
            <c:dLbl>
              <c:idx val="33"/>
              <c:layout>
                <c:manualLayout>
                  <c:x val="-0.10695970695970701"/>
                  <c:y val="-1.008827158199032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7BAA-44D7-BF40-78366C1D5622}"/>
                </c:ext>
              </c:extLst>
            </c:dLbl>
            <c:dLbl>
              <c:idx val="34"/>
              <c:layout>
                <c:manualLayout>
                  <c:x val="1.098901098901099E-2"/>
                  <c:y val="-3.026481474597096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7BAA-44D7-BF40-78366C1D5622}"/>
                </c:ext>
              </c:extLst>
            </c:dLbl>
            <c:dLbl>
              <c:idx val="35"/>
              <c:layout>
                <c:manualLayout>
                  <c:x val="1.9047619047618942E-2"/>
                  <c:y val="-2.824716042957290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7BAA-44D7-BF40-78366C1D5622}"/>
                </c:ext>
              </c:extLst>
            </c:dLbl>
            <c:dLbl>
              <c:idx val="36"/>
              <c:layout>
                <c:manualLayout>
                  <c:x val="-1.9047619047619074E-2"/>
                  <c:y val="9.886506150350515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7BAA-44D7-BF40-78366C1D5622}"/>
                </c:ext>
              </c:extLst>
            </c:dLbl>
            <c:dLbl>
              <c:idx val="37"/>
              <c:layout>
                <c:manualLayout>
                  <c:x val="-9.0842490842490839E-2"/>
                  <c:y val="3.228246906236899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7BAA-44D7-BF40-78366C1D5622}"/>
                </c:ext>
              </c:extLst>
            </c:dLbl>
            <c:dLbl>
              <c:idx val="38"/>
              <c:layout>
                <c:manualLayout>
                  <c:x val="2.7106227106227107E-2"/>
                  <c:y val="-4.0353086327962031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7BAA-44D7-BF40-78366C1D5622}"/>
                </c:ext>
              </c:extLst>
            </c:dLbl>
            <c:dLbl>
              <c:idx val="39"/>
              <c:layout>
                <c:manualLayout>
                  <c:x val="4.3956043956043959E-2"/>
                  <c:y val="-2.522067895497584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7BAA-44D7-BF40-78366C1D5622}"/>
                </c:ext>
              </c:extLst>
            </c:dLbl>
            <c:dLbl>
              <c:idx val="40"/>
              <c:layout>
                <c:manualLayout>
                  <c:x val="-8.1318681318681432E-2"/>
                  <c:y val="-7.66708640231265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7BAA-44D7-BF40-78366C1D5622}"/>
                </c:ext>
              </c:extLst>
            </c:dLbl>
            <c:dLbl>
              <c:idx val="41"/>
              <c:layout>
                <c:manualLayout>
                  <c:x val="-4.102564102564113E-2"/>
                  <c:y val="6.052962949194193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7BAA-44D7-BF40-78366C1D5622}"/>
                </c:ext>
              </c:extLst>
            </c:dLbl>
            <c:dLbl>
              <c:idx val="42"/>
              <c:layout>
                <c:manualLayout>
                  <c:x val="3.4432234432234435E-2"/>
                  <c:y val="-5.346783938454870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7BAA-44D7-BF40-78366C1D5622}"/>
                </c:ext>
              </c:extLst>
            </c:dLbl>
            <c:dLbl>
              <c:idx val="43"/>
              <c:layout>
                <c:manualLayout>
                  <c:x val="-5.5677655677655681E-2"/>
                  <c:y val="-2.622950611317483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7BAA-44D7-BF40-78366C1D5622}"/>
                </c:ext>
              </c:extLst>
            </c:dLbl>
            <c:dLbl>
              <c:idx val="44"/>
              <c:layout>
                <c:manualLayout>
                  <c:x val="1.6117216117216119E-2"/>
                  <c:y val="-5.851197517554387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7BAA-44D7-BF40-78366C1D5622}"/>
                </c:ext>
              </c:extLst>
            </c:dLbl>
            <c:dLbl>
              <c:idx val="45"/>
              <c:layout>
                <c:manualLayout>
                  <c:x val="2.2710622710622602E-2"/>
                  <c:y val="7.0617901073931882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7BAA-44D7-BF40-78366C1D5622}"/>
                </c:ext>
              </c:extLst>
            </c:dLbl>
            <c:dLbl>
              <c:idx val="47"/>
              <c:layout>
                <c:manualLayout>
                  <c:x val="5.128205128205128E-2"/>
                  <c:y val="-9.180327139611196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7BAA-44D7-BF40-78366C1D5622}"/>
                </c:ext>
              </c:extLst>
            </c:dLbl>
            <c:dLbl>
              <c:idx val="48"/>
              <c:layout>
                <c:manualLayout>
                  <c:x val="2.6373626373626266E-2"/>
                  <c:y val="-1.412358021478645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7BAA-44D7-BF40-78366C1D5622}"/>
                </c:ext>
              </c:extLst>
            </c:dLbl>
            <c:dLbl>
              <c:idx val="49"/>
              <c:layout>
                <c:manualLayout>
                  <c:x val="2.9304029304029304E-3"/>
                  <c:y val="-3.631777769516515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7BAA-44D7-BF40-78366C1D5622}"/>
                </c:ext>
              </c:extLst>
            </c:dLbl>
            <c:dLbl>
              <c:idx val="50"/>
              <c:layout>
                <c:manualLayout>
                  <c:x val="-9.4505494505494503E-2"/>
                  <c:y val="9.07944442379129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2-7BAA-44D7-BF40-78366C1D562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PEP'!$T$16:$T$39</c:f>
              <c:numCache>
                <c:formatCode>General</c:formatCode>
                <c:ptCount val="24"/>
                <c:pt idx="0">
                  <c:v>75</c:v>
                </c:pt>
                <c:pt idx="1">
                  <c:v>57.5</c:v>
                </c:pt>
                <c:pt idx="2">
                  <c:v>40</c:v>
                </c:pt>
                <c:pt idx="3">
                  <c:v>60</c:v>
                </c:pt>
                <c:pt idx="4">
                  <c:v>45</c:v>
                </c:pt>
                <c:pt idx="5">
                  <c:v>60</c:v>
                </c:pt>
                <c:pt idx="6">
                  <c:v>55</c:v>
                </c:pt>
                <c:pt idx="7">
                  <c:v>60</c:v>
                </c:pt>
                <c:pt idx="8">
                  <c:v>50</c:v>
                </c:pt>
                <c:pt idx="9">
                  <c:v>40</c:v>
                </c:pt>
                <c:pt idx="10">
                  <c:v>60</c:v>
                </c:pt>
                <c:pt idx="11">
                  <c:v>45</c:v>
                </c:pt>
                <c:pt idx="12">
                  <c:v>50</c:v>
                </c:pt>
                <c:pt idx="13">
                  <c:v>75</c:v>
                </c:pt>
                <c:pt idx="14">
                  <c:v>30</c:v>
                </c:pt>
                <c:pt idx="15">
                  <c:v>25</c:v>
                </c:pt>
                <c:pt idx="16">
                  <c:v>30</c:v>
                </c:pt>
                <c:pt idx="17">
                  <c:v>30</c:v>
                </c:pt>
                <c:pt idx="18">
                  <c:v>40</c:v>
                </c:pt>
                <c:pt idx="19">
                  <c:v>55</c:v>
                </c:pt>
                <c:pt idx="20">
                  <c:v>60</c:v>
                </c:pt>
                <c:pt idx="21">
                  <c:v>50</c:v>
                </c:pt>
                <c:pt idx="22">
                  <c:v>60</c:v>
                </c:pt>
                <c:pt idx="23">
                  <c:v>40</c:v>
                </c:pt>
              </c:numCache>
            </c:numRef>
          </c:xVal>
          <c:yVal>
            <c:numRef>
              <c:f>'Stratified Scenario Model PEP'!$D$16:$D$39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bubbleSize>
            <c:numRef>
              <c:f>'Stratified Scenario Model PEP'!$P$16:$P$39</c:f>
              <c:numCache>
                <c:formatCode>General</c:formatCode>
                <c:ptCount val="24"/>
                <c:pt idx="0">
                  <c:v>0.12115081512150368</c:v>
                </c:pt>
                <c:pt idx="1">
                  <c:v>0.18202938955683337</c:v>
                </c:pt>
                <c:pt idx="2">
                  <c:v>6.1197948921201915E-2</c:v>
                </c:pt>
                <c:pt idx="3">
                  <c:v>6.8387827775979279E-2</c:v>
                </c:pt>
                <c:pt idx="4">
                  <c:v>1.2825236833034197E-2</c:v>
                </c:pt>
                <c:pt idx="5">
                  <c:v>0.18405482709359761</c:v>
                </c:pt>
                <c:pt idx="6">
                  <c:v>0.1271311738127979</c:v>
                </c:pt>
                <c:pt idx="7">
                  <c:v>0.10392032880177048</c:v>
                </c:pt>
                <c:pt idx="8">
                  <c:v>4.013947760122704E-2</c:v>
                </c:pt>
                <c:pt idx="9">
                  <c:v>8.1635667961767439E-2</c:v>
                </c:pt>
                <c:pt idx="10">
                  <c:v>0.11806313583373357</c:v>
                </c:pt>
                <c:pt idx="11">
                  <c:v>2.8538586133026803E-2</c:v>
                </c:pt>
                <c:pt idx="12">
                  <c:v>5.9627660080480219E-2</c:v>
                </c:pt>
                <c:pt idx="13">
                  <c:v>0.13846348741624909</c:v>
                </c:pt>
                <c:pt idx="14">
                  <c:v>6.0386066734675684E-2</c:v>
                </c:pt>
                <c:pt idx="15">
                  <c:v>9.8743484224965705E-3</c:v>
                </c:pt>
                <c:pt idx="16">
                  <c:v>4.5893076340463315E-2</c:v>
                </c:pt>
                <c:pt idx="17">
                  <c:v>5.5637933151368044E-2</c:v>
                </c:pt>
                <c:pt idx="18">
                  <c:v>8.6748302990538442E-2</c:v>
                </c:pt>
                <c:pt idx="19">
                  <c:v>0.13825596986965866</c:v>
                </c:pt>
                <c:pt idx="20">
                  <c:v>0.10288880094974277</c:v>
                </c:pt>
                <c:pt idx="21">
                  <c:v>6.0691821186053131E-2</c:v>
                </c:pt>
                <c:pt idx="22">
                  <c:v>6.227159771963163E-2</c:v>
                </c:pt>
                <c:pt idx="23">
                  <c:v>6.5349706353443671E-2</c:v>
                </c:pt>
              </c:numCache>
            </c:numRef>
          </c:bubbleSize>
          <c:bubble3D val="0"/>
          <c:extLst>
            <c:ext xmlns:c15="http://schemas.microsoft.com/office/drawing/2012/chart" uri="{02D57815-91ED-43cb-92C2-25804820EDAC}">
              <c15:datalabelsRange>
                <c15:f>'Stratified Scenario Model PEP'!$A$16:$A$39</c15:f>
                <c15:dlblRange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15:dlblRangeCache>
              </c15:datalabelsRange>
            </c:ext>
            <c:ext xmlns:c16="http://schemas.microsoft.com/office/drawing/2014/chart" uri="{C3380CC4-5D6E-409C-BE32-E72D297353CC}">
              <c16:uniqueId val="{00000034-7BAA-44D7-BF40-78366C1D5622}"/>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Kerry U.S. Locations,  Highest </a:t>
            </a:r>
            <a:r>
              <a:rPr lang="en-US" sz="1400" b="1" i="0" u="none" strike="noStrike" kern="1200" spc="0" baseline="0">
                <a:solidFill>
                  <a:sysClr val="windowText" lastClr="000000">
                    <a:lumMod val="65000"/>
                    <a:lumOff val="35000"/>
                  </a:sysClr>
                </a:solidFill>
                <a:latin typeface="+mn-lt"/>
                <a:ea typeface="+mn-ea"/>
                <a:cs typeface="+mn-cs"/>
              </a:rPr>
              <a:t>Risk</a:t>
            </a:r>
            <a:r>
              <a:rPr lang="en-US" sz="1400" b="1" i="0" baseline="0">
                <a:effectLst/>
              </a:rPr>
              <a:t> Scenario Quadrant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 Kerry'!$P$15</c:f>
              <c:strCache>
                <c:ptCount val="1"/>
                <c:pt idx="0">
                  <c:v>Test Positive Rate Current</c:v>
                </c:pt>
              </c:strCache>
            </c:strRef>
          </c:tx>
          <c:spPr>
            <a:noFill/>
            <a:ln w="19050">
              <a:solidFill>
                <a:schemeClr val="accent1"/>
              </a:solidFill>
            </a:ln>
            <a:effectLst/>
          </c:spPr>
          <c:invertIfNegative val="0"/>
          <c:dLbls>
            <c:dLbl>
              <c:idx val="0"/>
              <c:layout>
                <c:manualLayout>
                  <c:x val="-5.2785923753665691E-2"/>
                  <c:y val="-0.12121212121212124"/>
                </c:manualLayout>
              </c:layout>
              <c:tx>
                <c:rich>
                  <a:bodyPr/>
                  <a:lstStyle/>
                  <a:p>
                    <a:fld id="{470A5576-BD49-48B5-8C3B-7FD01FB29F46}" type="CELLRANGE">
                      <a:rPr lang="en-US" baseline="0"/>
                      <a:pPr/>
                      <a:t>[CELLRANGE]</a:t>
                    </a:fld>
                    <a:r>
                      <a:rPr lang="en-US" baseline="0"/>
                      <a:t>, </a:t>
                    </a:r>
                    <a:fld id="{809718E5-8BA3-4891-BF8C-B5752D2E955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F987-43FE-B016-E2AEC3692F0E}"/>
                </c:ext>
              </c:extLst>
            </c:dLbl>
            <c:dLbl>
              <c:idx val="1"/>
              <c:layout>
                <c:manualLayout>
                  <c:x val="1.9062622670699834E-2"/>
                  <c:y val="-5.1508788674143005E-2"/>
                </c:manualLayout>
              </c:layout>
              <c:tx>
                <c:rich>
                  <a:bodyPr/>
                  <a:lstStyle/>
                  <a:p>
                    <a:fld id="{4080B4C6-B806-4608-9471-D640246722C0}" type="CELLRANGE">
                      <a:rPr lang="en-US" baseline="0"/>
                      <a:pPr/>
                      <a:t>[CELLRANGE]</a:t>
                    </a:fld>
                    <a:r>
                      <a:rPr lang="en-US" baseline="0"/>
                      <a:t>, </a:t>
                    </a:r>
                    <a:fld id="{B10F49EF-3BEC-447A-8E25-437E169391D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F987-43FE-B016-E2AEC3692F0E}"/>
                </c:ext>
              </c:extLst>
            </c:dLbl>
            <c:dLbl>
              <c:idx val="2"/>
              <c:layout>
                <c:manualLayout>
                  <c:x val="-0.10704354954164456"/>
                  <c:y val="-9.5097271931917637E-2"/>
                </c:manualLayout>
              </c:layout>
              <c:tx>
                <c:rich>
                  <a:bodyPr/>
                  <a:lstStyle/>
                  <a:p>
                    <a:fld id="{C36A688A-32FD-4F8D-BE93-BD93FE94BD3E}" type="CELLRANGE">
                      <a:rPr lang="en-US" baseline="0"/>
                      <a:pPr/>
                      <a:t>[CELLRANGE]</a:t>
                    </a:fld>
                    <a:r>
                      <a:rPr lang="en-US" baseline="0"/>
                      <a:t>, </a:t>
                    </a:r>
                    <a:fld id="{A3546DF8-2571-48F4-AE0E-B4D9FACAD61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F987-43FE-B016-E2AEC3692F0E}"/>
                </c:ext>
              </c:extLst>
            </c:dLbl>
            <c:dLbl>
              <c:idx val="3"/>
              <c:layout>
                <c:manualLayout>
                  <c:x val="1.9123929156949222E-2"/>
                  <c:y val="-8.4833214030064427E-2"/>
                </c:manualLayout>
              </c:layout>
              <c:tx>
                <c:rich>
                  <a:bodyPr/>
                  <a:lstStyle/>
                  <a:p>
                    <a:fld id="{E6821FDA-A449-43DC-A66A-6A27DE34761E}" type="CELLRANGE">
                      <a:rPr lang="en-US" baseline="0"/>
                      <a:pPr/>
                      <a:t>[CELLRANGE]</a:t>
                    </a:fld>
                    <a:r>
                      <a:rPr lang="en-US" baseline="0"/>
                      <a:t>, </a:t>
                    </a:r>
                    <a:fld id="{CED73740-5A46-423F-AEBD-BF27D85F03D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F987-43FE-B016-E2AEC3692F0E}"/>
                </c:ext>
              </c:extLst>
            </c:dLbl>
            <c:dLbl>
              <c:idx val="4"/>
              <c:layout>
                <c:manualLayout>
                  <c:x val="-9.5701618675964731E-2"/>
                  <c:y val="-9.288857074683847E-2"/>
                </c:manualLayout>
              </c:layout>
              <c:tx>
                <c:rich>
                  <a:bodyPr/>
                  <a:lstStyle/>
                  <a:p>
                    <a:fld id="{6A295A0E-A091-469C-BB24-B7B79ECF80B5}" type="CELLRANGE">
                      <a:rPr lang="en-US" baseline="0"/>
                      <a:pPr/>
                      <a:t>[CELLRANGE]</a:t>
                    </a:fld>
                    <a:r>
                      <a:rPr lang="en-US" baseline="0"/>
                      <a:t>, </a:t>
                    </a:r>
                    <a:fld id="{905A2090-708C-4669-B442-58A455E8CEB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F987-43FE-B016-E2AEC3692F0E}"/>
                </c:ext>
              </c:extLst>
            </c:dLbl>
            <c:dLbl>
              <c:idx val="5"/>
              <c:layout>
                <c:manualLayout>
                  <c:x val="-0.10558258480153321"/>
                  <c:y val="0.16163652270738885"/>
                </c:manualLayout>
              </c:layout>
              <c:tx>
                <c:rich>
                  <a:bodyPr/>
                  <a:lstStyle/>
                  <a:p>
                    <a:fld id="{13D5632A-2B1C-4090-9EDF-50CE4C4F31EA}" type="CELLRANGE">
                      <a:rPr lang="en-US" baseline="0"/>
                      <a:pPr/>
                      <a:t>[CELLRANGE]</a:t>
                    </a:fld>
                    <a:r>
                      <a:rPr lang="en-US" baseline="0"/>
                      <a:t>, </a:t>
                    </a:r>
                    <a:fld id="{00C2CA97-681A-4ACB-AB0D-4857EB0BE4E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F987-43FE-B016-E2AEC3692F0E}"/>
                </c:ext>
              </c:extLst>
            </c:dLbl>
            <c:dLbl>
              <c:idx val="6"/>
              <c:layout>
                <c:manualLayout>
                  <c:x val="-1.4792065947768259E-3"/>
                  <c:y val="9.6916249105225477E-2"/>
                </c:manualLayout>
              </c:layout>
              <c:tx>
                <c:rich>
                  <a:bodyPr/>
                  <a:lstStyle/>
                  <a:p>
                    <a:fld id="{708053FF-BD64-4216-9321-F7DA4168BC94}" type="CELLRANGE">
                      <a:rPr lang="en-US" baseline="0"/>
                      <a:pPr/>
                      <a:t>[CELLRANGE]</a:t>
                    </a:fld>
                    <a:r>
                      <a:rPr lang="en-US" baseline="0"/>
                      <a:t>, </a:t>
                    </a:r>
                    <a:fld id="{0BBD67EA-E063-436A-8783-5DE981FF450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F987-43FE-B016-E2AEC3692F0E}"/>
                </c:ext>
              </c:extLst>
            </c:dLbl>
            <c:dLbl>
              <c:idx val="7"/>
              <c:layout>
                <c:manualLayout>
                  <c:x val="3.6656891495601175E-2"/>
                  <c:y val="3.2323232323232323E-2"/>
                </c:manualLayout>
              </c:layout>
              <c:tx>
                <c:rich>
                  <a:bodyPr/>
                  <a:lstStyle/>
                  <a:p>
                    <a:fld id="{CC4C62CC-869A-42E8-9404-F973DE87C118}" type="CELLRANGE">
                      <a:rPr lang="en-US" baseline="0"/>
                      <a:pPr/>
                      <a:t>[CELLRANGE]</a:t>
                    </a:fld>
                    <a:r>
                      <a:rPr lang="en-US" baseline="0"/>
                      <a:t>, </a:t>
                    </a:r>
                    <a:fld id="{A3015403-D92D-4154-BA47-82EBF4A8139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F987-43FE-B016-E2AEC3692F0E}"/>
                </c:ext>
              </c:extLst>
            </c:dLbl>
            <c:dLbl>
              <c:idx val="8"/>
              <c:layout>
                <c:manualLayout>
                  <c:x val="-9.9744383125129885E-2"/>
                  <c:y val="9.8921180307007084E-2"/>
                </c:manualLayout>
              </c:layout>
              <c:tx>
                <c:rich>
                  <a:bodyPr/>
                  <a:lstStyle/>
                  <a:p>
                    <a:fld id="{9F9DD78C-D196-48F7-8F72-03478AA88FA5}" type="CELLRANGE">
                      <a:rPr lang="en-US" baseline="0"/>
                      <a:pPr/>
                      <a:t>[CELLRANGE]</a:t>
                    </a:fld>
                    <a:r>
                      <a:rPr lang="en-US" baseline="0"/>
                      <a:t>, </a:t>
                    </a:r>
                    <a:fld id="{7C6B7AB5-17E7-4548-B29E-D436F62D3C0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F987-43FE-B016-E2AEC3692F0E}"/>
                </c:ext>
              </c:extLst>
            </c:dLbl>
            <c:dLbl>
              <c:idx val="9"/>
              <c:layout>
                <c:manualLayout>
                  <c:x val="-1.6833652758214607E-2"/>
                  <c:y val="-5.7424162888729889E-2"/>
                </c:manualLayout>
              </c:layout>
              <c:tx>
                <c:rich>
                  <a:bodyPr/>
                  <a:lstStyle/>
                  <a:p>
                    <a:fld id="{D12B5F3E-9775-4A5A-B2F5-3309408494C2}" type="CELLRANGE">
                      <a:rPr lang="en-US" baseline="0"/>
                      <a:pPr/>
                      <a:t>[CELLRANGE]</a:t>
                    </a:fld>
                    <a:r>
                      <a:rPr lang="en-US" baseline="0"/>
                      <a:t>, </a:t>
                    </a:r>
                    <a:fld id="{5829A306-7C0B-4ED0-8B7C-47ED2859100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F987-43FE-B016-E2AEC3692F0E}"/>
                </c:ext>
              </c:extLst>
            </c:dLbl>
            <c:dLbl>
              <c:idx val="10"/>
              <c:layout>
                <c:manualLayout>
                  <c:x val="-3.2286004572009253E-2"/>
                  <c:y val="-0.12922166547363401"/>
                </c:manualLayout>
              </c:layout>
              <c:tx>
                <c:rich>
                  <a:bodyPr/>
                  <a:lstStyle/>
                  <a:p>
                    <a:fld id="{5BE37DD2-68D0-40F0-B516-A3CB81F0CFFD}" type="CELLRANGE">
                      <a:rPr lang="en-US" baseline="0"/>
                      <a:pPr/>
                      <a:t>[CELLRANGE]</a:t>
                    </a:fld>
                    <a:r>
                      <a:rPr lang="en-US" baseline="0"/>
                      <a:t>, </a:t>
                    </a:r>
                    <a:fld id="{78E9DFD6-CA2E-4391-82F6-E29ACDC368A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F987-43FE-B016-E2AEC3692F0E}"/>
                </c:ext>
              </c:extLst>
            </c:dLbl>
            <c:dLbl>
              <c:idx val="11"/>
              <c:layout>
                <c:manualLayout>
                  <c:x val="-5.8618699055580196E-3"/>
                  <c:y val="-1.2057583711127019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B-F987-43FE-B016-E2AEC3692F0E}"/>
                </c:ext>
              </c:extLst>
            </c:dLbl>
            <c:dLbl>
              <c:idx val="12"/>
              <c:layout>
                <c:manualLayout>
                  <c:x val="-1.31975200314037E-2"/>
                  <c:y val="9.4916408176250619E-2"/>
                </c:manualLayout>
              </c:layout>
              <c:tx>
                <c:rich>
                  <a:bodyPr/>
                  <a:lstStyle/>
                  <a:p>
                    <a:fld id="{9AE271EC-DE89-4470-9ECD-24E2C03C6962}" type="CELLRANGE">
                      <a:rPr lang="en-US" baseline="0"/>
                      <a:pPr/>
                      <a:t>[CELLRANGE]</a:t>
                    </a:fld>
                    <a:r>
                      <a:rPr lang="en-US" baseline="0"/>
                      <a:t>, </a:t>
                    </a:r>
                    <a:fld id="{07434ACF-FD6C-4181-BB7E-BE112716168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F987-43FE-B016-E2AEC3692F0E}"/>
                </c:ext>
              </c:extLst>
            </c:dLbl>
            <c:dLbl>
              <c:idx val="13"/>
              <c:layout>
                <c:manualLayout>
                  <c:x val="5.8715681067725775E-3"/>
                  <c:y val="7.3682653304700474E-2"/>
                </c:manualLayout>
              </c:layout>
              <c:tx>
                <c:rich>
                  <a:bodyPr/>
                  <a:lstStyle/>
                  <a:p>
                    <a:fld id="{51F8150A-ACAD-410D-9A19-7072B59E1792}" type="CELLRANGE">
                      <a:rPr lang="en-US" baseline="0"/>
                      <a:pPr/>
                      <a:t>[CELLRANGE]</a:t>
                    </a:fld>
                    <a:r>
                      <a:rPr lang="en-US" baseline="0"/>
                      <a:t>, </a:t>
                    </a:r>
                    <a:fld id="{7087261A-AA3B-4B35-9FA4-35230A3C811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F987-43FE-B016-E2AEC3692F0E}"/>
                </c:ext>
              </c:extLst>
            </c:dLbl>
            <c:dLbl>
              <c:idx val="14"/>
              <c:layout>
                <c:manualLayout>
                  <c:x val="2.5635693998660725E-2"/>
                  <c:y val="-1.9208462578541394E-2"/>
                </c:manualLayout>
              </c:layout>
              <c:tx>
                <c:rich>
                  <a:bodyPr/>
                  <a:lstStyle/>
                  <a:p>
                    <a:fld id="{E2DB77A1-1C26-4753-A2CC-B02E9599464B}" type="CELLRANGE">
                      <a:rPr lang="en-US" baseline="0"/>
                      <a:pPr/>
                      <a:t>[CELLRANGE]</a:t>
                    </a:fld>
                    <a:r>
                      <a:rPr lang="en-US" baseline="0"/>
                      <a:t>, </a:t>
                    </a:r>
                    <a:fld id="{6D286F55-6C60-464C-87CB-EE7DC5D45B2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F987-43FE-B016-E2AEC3692F0E}"/>
                </c:ext>
              </c:extLst>
            </c:dLbl>
            <c:dLbl>
              <c:idx val="15"/>
              <c:layout>
                <c:manualLayout>
                  <c:x val="-1.1729166185605098E-2"/>
                  <c:y val="-4.4459715262864873E-2"/>
                </c:manualLayout>
              </c:layout>
              <c:tx>
                <c:rich>
                  <a:bodyPr/>
                  <a:lstStyle/>
                  <a:p>
                    <a:fld id="{718D456A-C47A-4627-8CAA-3F3F1176E1E1}" type="CELLRANGE">
                      <a:rPr lang="en-US" baseline="0"/>
                      <a:pPr/>
                      <a:t>[CELLRANGE]</a:t>
                    </a:fld>
                    <a:r>
                      <a:rPr lang="en-US" baseline="0"/>
                      <a:t>, </a:t>
                    </a:r>
                    <a:fld id="{737756D2-600F-4F66-9ECF-603DC35B598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F987-43FE-B016-E2AEC3692F0E}"/>
                </c:ext>
              </c:extLst>
            </c:dLbl>
            <c:dLbl>
              <c:idx val="16"/>
              <c:layout>
                <c:manualLayout>
                  <c:x val="3.8190823654374526E-2"/>
                  <c:y val="-5.0566133778732203E-2"/>
                </c:manualLayout>
              </c:layout>
              <c:tx>
                <c:rich>
                  <a:bodyPr/>
                  <a:lstStyle/>
                  <a:p>
                    <a:fld id="{ECFFB51F-8EBF-4BEE-8A14-24267BDE5561}" type="CELLRANGE">
                      <a:rPr lang="en-US" baseline="0"/>
                      <a:pPr/>
                      <a:t>[CELLRANGE]</a:t>
                    </a:fld>
                    <a:r>
                      <a:rPr lang="en-US" baseline="0"/>
                      <a:t>, </a:t>
                    </a:r>
                    <a:fld id="{F77549A3-E0F9-41A2-B064-4632EA96DED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F987-43FE-B016-E2AEC3692F0E}"/>
                </c:ext>
              </c:extLst>
            </c:dLbl>
            <c:dLbl>
              <c:idx val="17"/>
              <c:layout>
                <c:manualLayout>
                  <c:x val="3.223335719398706E-2"/>
                  <c:y val="-6.8718682891911234E-5"/>
                </c:manualLayout>
              </c:layout>
              <c:tx>
                <c:rich>
                  <a:bodyPr/>
                  <a:lstStyle/>
                  <a:p>
                    <a:fld id="{9BC5A6CA-D479-4108-AC60-FBEB58D4015A}" type="CELLRANGE">
                      <a:rPr lang="en-US" baseline="0"/>
                      <a:pPr/>
                      <a:t>[CELLRANGE]</a:t>
                    </a:fld>
                    <a:r>
                      <a:rPr lang="en-US" baseline="0"/>
                      <a:t>, </a:t>
                    </a:r>
                    <a:fld id="{0F52A559-D162-43A8-B2AC-B44E35F4A30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F987-43FE-B016-E2AEC3692F0E}"/>
                </c:ext>
              </c:extLst>
            </c:dLbl>
            <c:dLbl>
              <c:idx val="18"/>
              <c:layout>
                <c:manualLayout>
                  <c:x val="1.4652014652014652E-2"/>
                  <c:y val="-9.1803271396111927E-2"/>
                </c:manualLayout>
              </c:layout>
              <c:tx>
                <c:rich>
                  <a:bodyPr/>
                  <a:lstStyle/>
                  <a:p>
                    <a:fld id="{F48CA605-3FD7-4505-8086-F3351CFAFD77}" type="CELLRANGE">
                      <a:rPr lang="en-US" baseline="0"/>
                      <a:pPr/>
                      <a:t>[CELLRANGE]</a:t>
                    </a:fld>
                    <a:r>
                      <a:rPr lang="en-US" baseline="0"/>
                      <a:t>, </a:t>
                    </a:r>
                    <a:fld id="{036FAFAD-A484-43C0-9BBC-643F43CCEB9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F987-43FE-B016-E2AEC3692F0E}"/>
                </c:ext>
              </c:extLst>
            </c:dLbl>
            <c:dLbl>
              <c:idx val="19"/>
              <c:layout>
                <c:manualLayout>
                  <c:x val="1.6140924100029964E-2"/>
                  <c:y val="-5.8527240913067761E-2"/>
                </c:manualLayout>
              </c:layout>
              <c:tx>
                <c:rich>
                  <a:bodyPr/>
                  <a:lstStyle/>
                  <a:p>
                    <a:fld id="{D5519740-F626-4BCA-B250-6C40DC69B265}" type="CELLRANGE">
                      <a:rPr lang="en-US" baseline="0"/>
                      <a:pPr/>
                      <a:t>[CELLRANGE]</a:t>
                    </a:fld>
                    <a:r>
                      <a:rPr lang="en-US" baseline="0"/>
                      <a:t>, </a:t>
                    </a:r>
                    <a:fld id="{1D9C8FA6-B554-472E-A8B4-1E3F6E3A0E2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layout>
                    <c:manualLayout>
                      <c:w val="0.11041783083566167"/>
                      <c:h val="2.578795832339139E-2"/>
                    </c:manualLayout>
                  </c15:layout>
                  <c15:dlblFieldTable/>
                  <c15:showDataLabelsRange val="1"/>
                </c:ext>
                <c:ext xmlns:c16="http://schemas.microsoft.com/office/drawing/2014/chart" uri="{C3380CC4-5D6E-409C-BE32-E72D297353CC}">
                  <c16:uniqueId val="{00000013-F987-43FE-B016-E2AEC3692F0E}"/>
                </c:ext>
              </c:extLst>
            </c:dLbl>
            <c:dLbl>
              <c:idx val="20"/>
              <c:layout>
                <c:manualLayout>
                  <c:x val="5.9456669822430551E-2"/>
                  <c:y val="-6.4547045255706675E-2"/>
                </c:manualLayout>
              </c:layout>
              <c:tx>
                <c:rich>
                  <a:bodyPr/>
                  <a:lstStyle/>
                  <a:p>
                    <a:fld id="{6BAC41EF-04FB-4F2F-AD37-C70850C82E3C}" type="CELLRANGE">
                      <a:rPr lang="en-US" baseline="0"/>
                      <a:pPr/>
                      <a:t>[CELLRANGE]</a:t>
                    </a:fld>
                    <a:r>
                      <a:rPr lang="en-US" baseline="0"/>
                      <a:t>, </a:t>
                    </a:r>
                    <a:fld id="{680A541C-B224-4F94-821A-E8F4CC556CF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F987-43FE-B016-E2AEC3692F0E}"/>
                </c:ext>
              </c:extLst>
            </c:dLbl>
            <c:dLbl>
              <c:idx val="21"/>
              <c:layout>
                <c:manualLayout>
                  <c:x val="2.3451866903733808E-2"/>
                  <c:y val="0.1616670643442297"/>
                </c:manualLayout>
              </c:layout>
              <c:tx>
                <c:rich>
                  <a:bodyPr/>
                  <a:lstStyle/>
                  <a:p>
                    <a:fld id="{D6C0804E-6741-4A3A-A07F-25C863AB0A88}" type="CELLRANGE">
                      <a:rPr lang="en-US" baseline="0"/>
                      <a:pPr/>
                      <a:t>[CELLRANGE]</a:t>
                    </a:fld>
                    <a:r>
                      <a:rPr lang="en-US" baseline="0"/>
                      <a:t>, </a:t>
                    </a:r>
                    <a:fld id="{2CE8F647-DC43-46BF-A56F-27727C5DAE8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F987-43FE-B016-E2AEC3692F0E}"/>
                </c:ext>
              </c:extLst>
            </c:dLbl>
            <c:dLbl>
              <c:idx val="22"/>
              <c:layout>
                <c:manualLayout>
                  <c:x val="-8.8644688644688649E-2"/>
                  <c:y val="-7.06179010739322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6-F987-43FE-B016-E2AEC3692F0E}"/>
                </c:ext>
              </c:extLst>
            </c:dLbl>
            <c:dLbl>
              <c:idx val="23"/>
              <c:layout>
                <c:manualLayout>
                  <c:x val="4.2490842490842382E-2"/>
                  <c:y val="3.127364190417000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F987-43FE-B016-E2AEC3692F0E}"/>
                </c:ext>
              </c:extLst>
            </c:dLbl>
            <c:dLbl>
              <c:idx val="24"/>
              <c:layout>
                <c:manualLayout>
                  <c:x val="2.6373626373626374E-2"/>
                  <c:y val="-1.513240737298548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F987-43FE-B016-E2AEC3692F0E}"/>
                </c:ext>
              </c:extLst>
            </c:dLbl>
            <c:dLbl>
              <c:idx val="25"/>
              <c:layout>
                <c:manualLayout>
                  <c:x val="-5.6410256410256411E-2"/>
                  <c:y val="4.539722211895645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F987-43FE-B016-E2AEC3692F0E}"/>
                </c:ext>
              </c:extLst>
            </c:dLbl>
            <c:dLbl>
              <c:idx val="26"/>
              <c:layout>
                <c:manualLayout>
                  <c:x val="1.7582417582417582E-2"/>
                  <c:y val="-2.0176543163980642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A-F987-43FE-B016-E2AEC3692F0E}"/>
                </c:ext>
              </c:extLst>
            </c:dLbl>
            <c:dLbl>
              <c:idx val="27"/>
              <c:layout>
                <c:manualLayout>
                  <c:x val="3.5897435897435895E-2"/>
                  <c:y val="9.0794444237912164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F987-43FE-B016-E2AEC3692F0E}"/>
                </c:ext>
              </c:extLst>
            </c:dLbl>
            <c:dLbl>
              <c:idx val="28"/>
              <c:layout>
                <c:manualLayout>
                  <c:x val="-7.4725274725274723E-2"/>
                  <c:y val="7.868851833952440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F987-43FE-B016-E2AEC3692F0E}"/>
                </c:ext>
              </c:extLst>
            </c:dLbl>
            <c:dLbl>
              <c:idx val="29"/>
              <c:layout>
                <c:manualLayout>
                  <c:x val="6.5934065934064858E-3"/>
                  <c:y val="3.73266048533641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F987-43FE-B016-E2AEC3692F0E}"/>
                </c:ext>
              </c:extLst>
            </c:dLbl>
            <c:dLbl>
              <c:idx val="30"/>
              <c:layout>
                <c:manualLayout>
                  <c:x val="-9.8168498168498194E-2"/>
                  <c:y val="2.8247160429572829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F987-43FE-B016-E2AEC3692F0E}"/>
                </c:ext>
              </c:extLst>
            </c:dLbl>
            <c:dLbl>
              <c:idx val="31"/>
              <c:layout>
                <c:manualLayout>
                  <c:x val="1.8315018315018316E-2"/>
                  <c:y val="0.16040351815364606"/>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F987-43FE-B016-E2AEC3692F0E}"/>
                </c:ext>
              </c:extLst>
            </c:dLbl>
            <c:dLbl>
              <c:idx val="32"/>
              <c:layout>
                <c:manualLayout>
                  <c:x val="1.9047619047619049E-2"/>
                  <c:y val="-6.6582592441136124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F987-43FE-B016-E2AEC3692F0E}"/>
                </c:ext>
              </c:extLst>
            </c:dLbl>
            <c:dLbl>
              <c:idx val="33"/>
              <c:layout>
                <c:manualLayout>
                  <c:x val="-0.10695970695970701"/>
                  <c:y val="-1.00882715819903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F987-43FE-B016-E2AEC3692F0E}"/>
                </c:ext>
              </c:extLst>
            </c:dLbl>
            <c:dLbl>
              <c:idx val="34"/>
              <c:layout>
                <c:manualLayout>
                  <c:x val="1.098901098901099E-2"/>
                  <c:y val="-3.026481474597096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F987-43FE-B016-E2AEC3692F0E}"/>
                </c:ext>
              </c:extLst>
            </c:dLbl>
            <c:dLbl>
              <c:idx val="35"/>
              <c:layout>
                <c:manualLayout>
                  <c:x val="1.9047619047618942E-2"/>
                  <c:y val="-2.824716042957290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F987-43FE-B016-E2AEC3692F0E}"/>
                </c:ext>
              </c:extLst>
            </c:dLbl>
            <c:dLbl>
              <c:idx val="36"/>
              <c:layout>
                <c:manualLayout>
                  <c:x val="-1.9047619047619074E-2"/>
                  <c:y val="9.886506150350515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F987-43FE-B016-E2AEC3692F0E}"/>
                </c:ext>
              </c:extLst>
            </c:dLbl>
            <c:dLbl>
              <c:idx val="37"/>
              <c:layout>
                <c:manualLayout>
                  <c:x val="-9.0842490842490839E-2"/>
                  <c:y val="3.228246906236899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F987-43FE-B016-E2AEC3692F0E}"/>
                </c:ext>
              </c:extLst>
            </c:dLbl>
            <c:dLbl>
              <c:idx val="38"/>
              <c:layout>
                <c:manualLayout>
                  <c:x val="2.7106227106227107E-2"/>
                  <c:y val="-4.0353086327962031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F987-43FE-B016-E2AEC3692F0E}"/>
                </c:ext>
              </c:extLst>
            </c:dLbl>
            <c:dLbl>
              <c:idx val="39"/>
              <c:layout>
                <c:manualLayout>
                  <c:x val="4.3956043956043959E-2"/>
                  <c:y val="-2.522067895497584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F987-43FE-B016-E2AEC3692F0E}"/>
                </c:ext>
              </c:extLst>
            </c:dLbl>
            <c:dLbl>
              <c:idx val="40"/>
              <c:layout>
                <c:manualLayout>
                  <c:x val="-8.1318681318681432E-2"/>
                  <c:y val="-7.66708640231265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F987-43FE-B016-E2AEC3692F0E}"/>
                </c:ext>
              </c:extLst>
            </c:dLbl>
            <c:dLbl>
              <c:idx val="41"/>
              <c:layout>
                <c:manualLayout>
                  <c:x val="-4.102564102564113E-2"/>
                  <c:y val="6.052962949194193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F987-43FE-B016-E2AEC3692F0E}"/>
                </c:ext>
              </c:extLst>
            </c:dLbl>
            <c:dLbl>
              <c:idx val="42"/>
              <c:layout>
                <c:manualLayout>
                  <c:x val="3.4432234432234435E-2"/>
                  <c:y val="-5.346783938454870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F987-43FE-B016-E2AEC3692F0E}"/>
                </c:ext>
              </c:extLst>
            </c:dLbl>
            <c:dLbl>
              <c:idx val="43"/>
              <c:layout>
                <c:manualLayout>
                  <c:x val="-5.5677655677655681E-2"/>
                  <c:y val="-2.622950611317483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F987-43FE-B016-E2AEC3692F0E}"/>
                </c:ext>
              </c:extLst>
            </c:dLbl>
            <c:dLbl>
              <c:idx val="44"/>
              <c:layout>
                <c:manualLayout>
                  <c:x val="1.6117216117216119E-2"/>
                  <c:y val="-5.851197517554387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F987-43FE-B016-E2AEC3692F0E}"/>
                </c:ext>
              </c:extLst>
            </c:dLbl>
            <c:dLbl>
              <c:idx val="45"/>
              <c:layout>
                <c:manualLayout>
                  <c:x val="2.2710622710622602E-2"/>
                  <c:y val="7.0617901073931882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F987-43FE-B016-E2AEC3692F0E}"/>
                </c:ext>
              </c:extLst>
            </c:dLbl>
            <c:dLbl>
              <c:idx val="46"/>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00-81FC-4A69-A14F-649EA165EA5E}"/>
                </c:ext>
              </c:extLst>
            </c:dLbl>
            <c:dLbl>
              <c:idx val="47"/>
              <c:layout>
                <c:manualLayout>
                  <c:x val="5.128205128205128E-2"/>
                  <c:y val="-9.180327139611196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F987-43FE-B016-E2AEC3692F0E}"/>
                </c:ext>
              </c:extLst>
            </c:dLbl>
            <c:dLbl>
              <c:idx val="48"/>
              <c:layout>
                <c:manualLayout>
                  <c:x val="2.6373626373626266E-2"/>
                  <c:y val="-1.412358021478645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F987-43FE-B016-E2AEC3692F0E}"/>
                </c:ext>
              </c:extLst>
            </c:dLbl>
            <c:dLbl>
              <c:idx val="49"/>
              <c:layout>
                <c:manualLayout>
                  <c:x val="2.9304029304029304E-3"/>
                  <c:y val="-3.631777769516515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F987-43FE-B016-E2AEC3692F0E}"/>
                </c:ext>
              </c:extLst>
            </c:dLbl>
            <c:dLbl>
              <c:idx val="50"/>
              <c:layout>
                <c:manualLayout>
                  <c:x val="-9.4505494505494503E-2"/>
                  <c:y val="9.07944442379129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2-F987-43FE-B016-E2AEC3692F0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Kerry'!$T$16:$T$66</c:f>
              <c:numCache>
                <c:formatCode>0</c:formatCode>
                <c:ptCount val="51"/>
                <c:pt idx="0">
                  <c:v>80</c:v>
                </c:pt>
                <c:pt idx="1">
                  <c:v>75</c:v>
                </c:pt>
                <c:pt idx="2">
                  <c:v>40</c:v>
                </c:pt>
                <c:pt idx="3">
                  <c:v>60</c:v>
                </c:pt>
                <c:pt idx="4">
                  <c:v>55</c:v>
                </c:pt>
                <c:pt idx="5">
                  <c:v>60</c:v>
                </c:pt>
                <c:pt idx="6">
                  <c:v>50</c:v>
                </c:pt>
                <c:pt idx="7">
                  <c:v>40</c:v>
                </c:pt>
                <c:pt idx="8">
                  <c:v>60</c:v>
                </c:pt>
                <c:pt idx="9">
                  <c:v>50</c:v>
                </c:pt>
                <c:pt idx="10">
                  <c:v>25</c:v>
                </c:pt>
                <c:pt idx="11">
                  <c:v>#N/A</c:v>
                </c:pt>
                <c:pt idx="12">
                  <c:v>75</c:v>
                </c:pt>
                <c:pt idx="13">
                  <c:v>85</c:v>
                </c:pt>
                <c:pt idx="14">
                  <c:v>25</c:v>
                </c:pt>
                <c:pt idx="15">
                  <c:v>25</c:v>
                </c:pt>
                <c:pt idx="16">
                  <c:v>30</c:v>
                </c:pt>
                <c:pt idx="17">
                  <c:v>40</c:v>
                </c:pt>
                <c:pt idx="18">
                  <c:v>55</c:v>
                </c:pt>
                <c:pt idx="19">
                  <c:v>50</c:v>
                </c:pt>
                <c:pt idx="20">
                  <c:v>60</c:v>
                </c:pt>
                <c:pt idx="21">
                  <c:v>40</c:v>
                </c:pt>
              </c:numCache>
            </c:numRef>
          </c:xVal>
          <c:yVal>
            <c:numRef>
              <c:f>'Stratified Scenario Model Kerry'!$D$16:$D$66</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4" formatCode="#,##0">
                  <c:v>0</c:v>
                </c:pt>
              </c:numCache>
            </c:numRef>
          </c:yVal>
          <c:bubbleSize>
            <c:numRef>
              <c:f>'Stratified Scenario Model Kerry'!$P$16:$P$66</c:f>
              <c:numCache>
                <c:formatCode>0</c:formatCode>
                <c:ptCount val="51"/>
                <c:pt idx="0">
                  <c:v>0.20584040504884832</c:v>
                </c:pt>
                <c:pt idx="1">
                  <c:v>0.12115081512150368</c:v>
                </c:pt>
                <c:pt idx="2">
                  <c:v>6.1197948921201915E-2</c:v>
                </c:pt>
                <c:pt idx="3">
                  <c:v>0.18405482709359761</c:v>
                </c:pt>
                <c:pt idx="4">
                  <c:v>0.1271311738127979</c:v>
                </c:pt>
                <c:pt idx="5">
                  <c:v>0.10392032880177048</c:v>
                </c:pt>
                <c:pt idx="6">
                  <c:v>4.013947760122704E-2</c:v>
                </c:pt>
                <c:pt idx="7">
                  <c:v>8.1635667961767439E-2</c:v>
                </c:pt>
                <c:pt idx="8">
                  <c:v>0.11806313583373357</c:v>
                </c:pt>
                <c:pt idx="9">
                  <c:v>5.9627660080480219E-2</c:v>
                </c:pt>
                <c:pt idx="10">
                  <c:v>8.2614942528735635E-3</c:v>
                </c:pt>
                <c:pt idx="11">
                  <c:v>-4.818581471201961E-2</c:v>
                </c:pt>
                <c:pt idx="12">
                  <c:v>0.13846348741624909</c:v>
                </c:pt>
                <c:pt idx="13">
                  <c:v>0.23257403189066059</c:v>
                </c:pt>
                <c:pt idx="14">
                  <c:v>1.5503018164314288E-2</c:v>
                </c:pt>
                <c:pt idx="15">
                  <c:v>9.8743484224965705E-3</c:v>
                </c:pt>
                <c:pt idx="16">
                  <c:v>4.5893076340463315E-2</c:v>
                </c:pt>
                <c:pt idx="17">
                  <c:v>8.6748302990538442E-2</c:v>
                </c:pt>
                <c:pt idx="18">
                  <c:v>0.13825596986965866</c:v>
                </c:pt>
                <c:pt idx="19">
                  <c:v>6.0691821186053131E-2</c:v>
                </c:pt>
                <c:pt idx="20">
                  <c:v>6.227159771963163E-2</c:v>
                </c:pt>
                <c:pt idx="21">
                  <c:v>6.5349706353443671E-2</c:v>
                </c:pt>
              </c:numCache>
            </c:numRef>
          </c:bubbleSize>
          <c:bubble3D val="0"/>
          <c:extLst>
            <c:ext xmlns:c15="http://schemas.microsoft.com/office/drawing/2012/chart" uri="{02D57815-91ED-43cb-92C2-25804820EDAC}">
              <c15:datalabelsRange>
                <c15:f>'Stratified Scenario Model Kerry'!$A$16:$A$37</c15:f>
                <c15:dlblRange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15:dlblRangeCache>
              </c15:datalabelsRange>
            </c:ext>
            <c:ext xmlns:c16="http://schemas.microsoft.com/office/drawing/2014/chart" uri="{C3380CC4-5D6E-409C-BE32-E72D297353CC}">
              <c16:uniqueId val="{00000034-F987-43FE-B016-E2AEC3692F0E}"/>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5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U.S. </a:t>
            </a:r>
            <a:r>
              <a:rPr lang="en-US" sz="1400" b="1" i="0" u="none" strike="noStrike" kern="1200" spc="0" baseline="0">
                <a:solidFill>
                  <a:sysClr val="windowText" lastClr="000000">
                    <a:lumMod val="65000"/>
                    <a:lumOff val="35000"/>
                  </a:sysClr>
                </a:solidFill>
                <a:latin typeface="+mn-lt"/>
                <a:ea typeface="+mn-ea"/>
                <a:cs typeface="+mn-cs"/>
              </a:rPr>
              <a:t>Risk</a:t>
            </a:r>
            <a:r>
              <a:rPr lang="en-US" sz="1400" b="1" i="0" baseline="0">
                <a:effectLst/>
              </a:rPr>
              <a:t> Scenario Matrix</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4171693259750156"/>
          <c:y val="2.6249900580609237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930587522713507"/>
          <c:y val="0.12105925898388387"/>
          <c:w val="0.83554746041360217"/>
          <c:h val="0.74455495470763233"/>
        </c:manualLayout>
      </c:layout>
      <c:bubbleChart>
        <c:varyColors val="0"/>
        <c:ser>
          <c:idx val="0"/>
          <c:order val="0"/>
          <c:tx>
            <c:strRef>
              <c:f>'Stratified Scenario Model'!$Q$15</c:f>
              <c:strCache>
                <c:ptCount val="1"/>
                <c:pt idx="0">
                  <c:v>TPR Current</c:v>
                </c:pt>
              </c:strCache>
            </c:strRef>
          </c:tx>
          <c:spPr>
            <a:noFill/>
            <a:ln w="19050">
              <a:solidFill>
                <a:schemeClr val="accent1"/>
              </a:solidFill>
            </a:ln>
            <a:effectLst/>
          </c:spPr>
          <c:invertIfNegative val="0"/>
          <c:dLbls>
            <c:dLbl>
              <c:idx val="0"/>
              <c:layout>
                <c:manualLayout>
                  <c:x val="-7.9765395894428159E-2"/>
                  <c:y val="0.11959595959595945"/>
                </c:manualLayout>
              </c:layout>
              <c:tx>
                <c:rich>
                  <a:bodyPr/>
                  <a:lstStyle/>
                  <a:p>
                    <a:fld id="{F171894B-1E06-480F-A02B-1C2121E362B9}" type="CELLRANGE">
                      <a:rPr lang="en-US" baseline="0"/>
                      <a:pPr/>
                      <a:t>[CELLRANGE]</a:t>
                    </a:fld>
                    <a:r>
                      <a:rPr lang="en-US" baseline="0"/>
                      <a:t>, </a:t>
                    </a:r>
                    <a:fld id="{4FD2D534-172E-404D-B2AC-F701D315DE2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99EE-49E3-B513-8AD0892989BF}"/>
                </c:ext>
              </c:extLst>
            </c:dLbl>
            <c:dLbl>
              <c:idx val="1"/>
              <c:layout>
                <c:manualLayout>
                  <c:x val="-1.7594268824901286E-2"/>
                  <c:y val="-6.565020281555714E-2"/>
                </c:manualLayout>
              </c:layout>
              <c:tx>
                <c:rich>
                  <a:bodyPr/>
                  <a:lstStyle/>
                  <a:p>
                    <a:fld id="{79035E00-4443-4A08-A93C-A1CE59EC2AC1}" type="CELLRANGE">
                      <a:rPr lang="en-US" baseline="0"/>
                      <a:pPr/>
                      <a:t>[CELLRANGE]</a:t>
                    </a:fld>
                    <a:r>
                      <a:rPr lang="en-US" baseline="0"/>
                      <a:t>, </a:t>
                    </a:r>
                    <a:fld id="{C75D4AE5-5CC1-4502-8528-D27B259BF22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99EE-49E3-B513-8AD0892989BF}"/>
                </c:ext>
              </c:extLst>
            </c:dLbl>
            <c:dLbl>
              <c:idx val="2"/>
              <c:layout>
                <c:manualLayout>
                  <c:x val="5.1607592306093596E-2"/>
                  <c:y val="9.8842122007476343E-2"/>
                </c:manualLayout>
              </c:layout>
              <c:tx>
                <c:rich>
                  <a:bodyPr/>
                  <a:lstStyle/>
                  <a:p>
                    <a:fld id="{94D42E60-5E7B-4EEA-9793-60048485D970}" type="CELLRANGE">
                      <a:rPr lang="en-US" baseline="0"/>
                      <a:pPr/>
                      <a:t>[CELLRANGE]</a:t>
                    </a:fld>
                    <a:r>
                      <a:rPr lang="en-US" baseline="0"/>
                      <a:t>, </a:t>
                    </a:r>
                    <a:fld id="{C00A5D7D-9E39-4BF5-883C-1C90990FF32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99EE-49E3-B513-8AD0892989BF}"/>
                </c:ext>
              </c:extLst>
            </c:dLbl>
            <c:dLbl>
              <c:idx val="3"/>
              <c:layout>
                <c:manualLayout>
                  <c:x val="-8.7353083797076687E-3"/>
                  <c:y val="-3.0287759484609877E-2"/>
                </c:manualLayout>
              </c:layout>
              <c:tx>
                <c:rich>
                  <a:bodyPr/>
                  <a:lstStyle/>
                  <a:p>
                    <a:fld id="{5C082C3B-48DA-442D-9A10-641FCE2A2905}" type="CELLRANGE">
                      <a:rPr lang="en-US" baseline="0"/>
                      <a:pPr/>
                      <a:t>[CELLRANGE]</a:t>
                    </a:fld>
                    <a:r>
                      <a:rPr lang="en-US" baseline="0"/>
                      <a:t>, </a:t>
                    </a:r>
                    <a:fld id="{77AB297A-BAAC-4401-A30D-6716DBB7F32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99EE-49E3-B513-8AD0892989BF}"/>
                </c:ext>
              </c:extLst>
            </c:dLbl>
            <c:dLbl>
              <c:idx val="4"/>
              <c:layout>
                <c:manualLayout>
                  <c:x val="-9.6187683284457481E-2"/>
                  <c:y val="-9.4504732363000152E-2"/>
                </c:manualLayout>
              </c:layout>
              <c:tx>
                <c:rich>
                  <a:bodyPr/>
                  <a:lstStyle/>
                  <a:p>
                    <a:fld id="{7150A16A-13FB-43B1-BF5E-49385B0DCEF7}" type="CELLRANGE">
                      <a:rPr lang="en-US" baseline="0"/>
                      <a:pPr/>
                      <a:t>[CELLRANGE]</a:t>
                    </a:fld>
                    <a:r>
                      <a:rPr lang="en-US" baseline="0"/>
                      <a:t>, </a:t>
                    </a:r>
                    <a:fld id="{1BF4B63A-709A-4EEB-AAC7-845F649358E8}"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99EE-49E3-B513-8AD0892989BF}"/>
                </c:ext>
              </c:extLst>
            </c:dLbl>
            <c:dLbl>
              <c:idx val="5"/>
              <c:layout>
                <c:manualLayout>
                  <c:x val="1.0546447456531169E-2"/>
                  <c:y val="1.7394098464964532E-2"/>
                </c:manualLayout>
              </c:layout>
              <c:tx>
                <c:rich>
                  <a:bodyPr/>
                  <a:lstStyle/>
                  <a:p>
                    <a:fld id="{E7FE8343-C690-436A-A6BB-F25436AB43CA}" type="CELLRANGE">
                      <a:rPr lang="en-US" baseline="0"/>
                      <a:pPr/>
                      <a:t>[CELLRANGE]</a:t>
                    </a:fld>
                    <a:r>
                      <a:rPr lang="en-US" baseline="0"/>
                      <a:t>, </a:t>
                    </a:r>
                    <a:fld id="{199A31FC-2B47-4B8F-9DFF-915CFC2E281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99EE-49E3-B513-8AD0892989BF}"/>
                </c:ext>
              </c:extLst>
            </c:dLbl>
            <c:dLbl>
              <c:idx val="6"/>
              <c:layout>
                <c:manualLayout>
                  <c:x val="-0.12464636201999679"/>
                  <c:y val="-2.0659508470532165E-2"/>
                </c:manualLayout>
              </c:layout>
              <c:tx>
                <c:rich>
                  <a:bodyPr/>
                  <a:lstStyle/>
                  <a:p>
                    <a:fld id="{99CD8436-3DA9-4127-9561-AD09A06C771A}" type="CELLRANGE">
                      <a:rPr lang="en-US" baseline="0"/>
                      <a:pPr/>
                      <a:t>[CELLRANGE]</a:t>
                    </a:fld>
                    <a:r>
                      <a:rPr lang="en-US" baseline="0"/>
                      <a:t>, </a:t>
                    </a:r>
                    <a:fld id="{EEF50A06-B66B-428F-88D0-150FD5AD5D2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99EE-49E3-B513-8AD0892989BF}"/>
                </c:ext>
              </c:extLst>
            </c:dLbl>
            <c:dLbl>
              <c:idx val="7"/>
              <c:layout>
                <c:manualLayout>
                  <c:x val="-0.12404692082111438"/>
                  <c:y val="5.4949494949494949E-2"/>
                </c:manualLayout>
              </c:layout>
              <c:tx>
                <c:rich>
                  <a:bodyPr/>
                  <a:lstStyle/>
                  <a:p>
                    <a:fld id="{6142F3E5-DDA6-410D-8C75-0958A0F09F41}" type="CELLRANGE">
                      <a:rPr lang="en-US" baseline="0"/>
                      <a:pPr/>
                      <a:t>[CELLRANGE]</a:t>
                    </a:fld>
                    <a:r>
                      <a:rPr lang="en-US" baseline="0"/>
                      <a:t>, </a:t>
                    </a:r>
                    <a:fld id="{C968366E-3964-4F62-8B64-1DD7312AF19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99EE-49E3-B513-8AD0892989BF}"/>
                </c:ext>
              </c:extLst>
            </c:dLbl>
            <c:dLbl>
              <c:idx val="8"/>
              <c:layout>
                <c:manualLayout>
                  <c:x val="-8.7720922714572699E-2"/>
                  <c:y val="-4.9173626024019727E-3"/>
                </c:manualLayout>
              </c:layout>
              <c:tx>
                <c:rich>
                  <a:bodyPr/>
                  <a:lstStyle/>
                  <a:p>
                    <a:fld id="{284C6FBC-9AF0-499E-A956-9DD6B86653E6}" type="CELLRANGE">
                      <a:rPr lang="en-US" baseline="0"/>
                      <a:pPr/>
                      <a:t>[CELLRANGE]</a:t>
                    </a:fld>
                    <a:r>
                      <a:rPr lang="en-US" baseline="0"/>
                      <a:t>, </a:t>
                    </a:r>
                    <a:fld id="{6682905E-A48E-4C66-A7C8-E6F2E3ABBAB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99EE-49E3-B513-8AD0892989BF}"/>
                </c:ext>
              </c:extLst>
            </c:dLbl>
            <c:dLbl>
              <c:idx val="9"/>
              <c:layout>
                <c:manualLayout>
                  <c:x val="-3.8827787655575312E-2"/>
                  <c:y val="-0.18873729420186114"/>
                </c:manualLayout>
              </c:layout>
              <c:tx>
                <c:rich>
                  <a:bodyPr/>
                  <a:lstStyle/>
                  <a:p>
                    <a:fld id="{569F095C-4CC1-46AB-AC33-F2605E885629}" type="CELLRANGE">
                      <a:rPr lang="en-US" baseline="0"/>
                      <a:pPr/>
                      <a:t>[CELLRANGE]</a:t>
                    </a:fld>
                    <a:r>
                      <a:rPr lang="en-US" baseline="0"/>
                      <a:t>, </a:t>
                    </a:r>
                    <a:fld id="{667C5B8E-8705-4668-8198-A2FD21F684F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99EE-49E3-B513-8AD0892989BF}"/>
                </c:ext>
              </c:extLst>
            </c:dLbl>
            <c:dLbl>
              <c:idx val="10"/>
              <c:layout>
                <c:manualLayout>
                  <c:x val="-5.545315999722919E-2"/>
                  <c:y val="-0.13891847609957847"/>
                </c:manualLayout>
              </c:layout>
              <c:tx>
                <c:rich>
                  <a:bodyPr/>
                  <a:lstStyle/>
                  <a:p>
                    <a:fld id="{BACD79A6-8A5C-47DD-BFDA-C8F556FAA309}" type="CELLRANGE">
                      <a:rPr lang="en-US" baseline="0"/>
                      <a:pPr/>
                      <a:t>[CELLRANGE]</a:t>
                    </a:fld>
                    <a:r>
                      <a:rPr lang="en-US" baseline="0"/>
                      <a:t>, </a:t>
                    </a:r>
                    <a:fld id="{23949B5E-9D05-402A-AF3D-5E62EDC687B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99EE-49E3-B513-8AD0892989BF}"/>
                </c:ext>
              </c:extLst>
            </c:dLbl>
            <c:dLbl>
              <c:idx val="11"/>
              <c:layout>
                <c:manualLayout>
                  <c:x val="-6.4512896298519876E-2"/>
                  <c:y val="-5.0441422094965403E-2"/>
                </c:manualLayout>
              </c:layout>
              <c:tx>
                <c:rich>
                  <a:bodyPr/>
                  <a:lstStyle/>
                  <a:p>
                    <a:fld id="{09F5E809-31D5-43CE-8D5C-3CFB50359D8C}" type="CELLRANGE">
                      <a:rPr lang="en-US" baseline="0"/>
                      <a:pPr/>
                      <a:t>[CELLRANGE]</a:t>
                    </a:fld>
                    <a:r>
                      <a:rPr lang="en-US" baseline="0"/>
                      <a:t>, </a:t>
                    </a:r>
                    <a:fld id="{DDE57ADA-DFB2-47F5-A2E6-AB99C108B5D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99EE-49E3-B513-8AD0892989BF}"/>
                </c:ext>
              </c:extLst>
            </c:dLbl>
            <c:dLbl>
              <c:idx val="12"/>
              <c:layout>
                <c:manualLayout>
                  <c:x val="5.864063546308803E-3"/>
                  <c:y val="8.8855802115644492E-2"/>
                </c:manualLayout>
              </c:layout>
              <c:tx>
                <c:rich>
                  <a:bodyPr/>
                  <a:lstStyle/>
                  <a:p>
                    <a:fld id="{A7740628-41E3-4913-9A4F-DC9EB66AD631}" type="CELLRANGE">
                      <a:rPr lang="en-US" baseline="0"/>
                      <a:pPr/>
                      <a:t>[CELLRANGE]</a:t>
                    </a:fld>
                    <a:r>
                      <a:rPr lang="en-US" baseline="0"/>
                      <a:t>, </a:t>
                    </a:r>
                    <a:fld id="{0184EF3F-CAA1-4F52-AD85-9FE68DEF5FF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99EE-49E3-B513-8AD0892989BF}"/>
                </c:ext>
              </c:extLst>
            </c:dLbl>
            <c:dLbl>
              <c:idx val="13"/>
              <c:layout>
                <c:manualLayout>
                  <c:x val="5.8715681067725775E-3"/>
                  <c:y val="8.3783663405710501E-2"/>
                </c:manualLayout>
              </c:layout>
              <c:tx>
                <c:rich>
                  <a:bodyPr/>
                  <a:lstStyle/>
                  <a:p>
                    <a:fld id="{B6EC8B12-8A7B-4D0E-A854-6C1227EB8249}" type="CELLRANGE">
                      <a:rPr lang="en-US" baseline="0"/>
                      <a:pPr/>
                      <a:t>[CELLRANGE]</a:t>
                    </a:fld>
                    <a:r>
                      <a:rPr lang="en-US" baseline="0"/>
                      <a:t>, </a:t>
                    </a:r>
                    <a:fld id="{35E99C28-5FC0-4049-88BF-C5619BA5F4F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99EE-49E3-B513-8AD0892989BF}"/>
                </c:ext>
              </c:extLst>
            </c:dLbl>
            <c:dLbl>
              <c:idx val="14"/>
              <c:layout>
                <c:manualLayout>
                  <c:x val="-1.3953748816588542E-2"/>
                  <c:y val="0.16260971923964049"/>
                </c:manualLayout>
              </c:layout>
              <c:tx>
                <c:rich>
                  <a:bodyPr/>
                  <a:lstStyle/>
                  <a:p>
                    <a:fld id="{DBA08679-B54C-4861-8D48-FABC568FA17D}" type="CELLRANGE">
                      <a:rPr lang="en-US" baseline="0"/>
                      <a:pPr/>
                      <a:t>[CELLRANGE]</a:t>
                    </a:fld>
                    <a:r>
                      <a:rPr lang="en-US" baseline="0"/>
                      <a:t>, </a:t>
                    </a:r>
                    <a:fld id="{D18CC1A2-F254-44A8-940D-25CEC86EDEC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99EE-49E3-B513-8AD0892989BF}"/>
                </c:ext>
              </c:extLst>
            </c:dLbl>
            <c:dLbl>
              <c:idx val="15"/>
              <c:layout>
                <c:manualLayout>
                  <c:x val="3.3725379268940356E-2"/>
                  <c:y val="1.8166547363397609E-2"/>
                </c:manualLayout>
              </c:layout>
              <c:tx>
                <c:rich>
                  <a:bodyPr/>
                  <a:lstStyle/>
                  <a:p>
                    <a:fld id="{A69EC1CF-2231-4164-8783-0C5730C6DBD7}" type="CELLRANGE">
                      <a:rPr lang="en-US" baseline="0"/>
                      <a:pPr/>
                      <a:t>[CELLRANGE]</a:t>
                    </a:fld>
                    <a:r>
                      <a:rPr lang="en-US" baseline="0"/>
                      <a:t>, </a:t>
                    </a:r>
                    <a:fld id="{50AB8A1A-62D4-43CB-8D8E-1EC810B91E6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99EE-49E3-B513-8AD0892989BF}"/>
                </c:ext>
              </c:extLst>
            </c:dLbl>
            <c:dLbl>
              <c:idx val="16"/>
              <c:layout>
                <c:manualLayout>
                  <c:x val="-2.8648948206987323E-3"/>
                  <c:y val="-0.10713179034438884"/>
                </c:manualLayout>
              </c:layout>
              <c:tx>
                <c:rich>
                  <a:bodyPr/>
                  <a:lstStyle/>
                  <a:p>
                    <a:fld id="{F269EF67-E3A6-4E98-BC32-376C2B787575}" type="CELLRANGE">
                      <a:rPr lang="en-US" baseline="0"/>
                      <a:pPr/>
                      <a:t>[CELLRANGE]</a:t>
                    </a:fld>
                    <a:r>
                      <a:rPr lang="en-US" baseline="0"/>
                      <a:t>, </a:t>
                    </a:r>
                    <a:fld id="{F08528B1-5949-476E-BF2A-2AB1A91BBDB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99EE-49E3-B513-8AD0892989BF}"/>
                </c:ext>
              </c:extLst>
            </c:dLbl>
            <c:dLbl>
              <c:idx val="17"/>
              <c:layout>
                <c:manualLayout>
                  <c:x val="1.3171773616274505E-2"/>
                  <c:y val="0.12720400858983522"/>
                </c:manualLayout>
              </c:layout>
              <c:tx>
                <c:rich>
                  <a:bodyPr/>
                  <a:lstStyle/>
                  <a:p>
                    <a:fld id="{81E1AC60-D2C5-4736-8F89-93CECD7992E4}" type="CELLRANGE">
                      <a:rPr lang="en-US" baseline="0"/>
                      <a:pPr/>
                      <a:t>[CELLRANGE]</a:t>
                    </a:fld>
                    <a:r>
                      <a:rPr lang="en-US" baseline="0"/>
                      <a:t>, </a:t>
                    </a:r>
                    <a:fld id="{A9DE40BE-B375-4007-AE52-F379A27F3D9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99EE-49E3-B513-8AD0892989BF}"/>
                </c:ext>
              </c:extLst>
            </c:dLbl>
            <c:dLbl>
              <c:idx val="18"/>
              <c:layout>
                <c:manualLayout>
                  <c:x val="1.4652014652014652E-2"/>
                  <c:y val="-9.1803271396111927E-2"/>
                </c:manualLayout>
              </c:layout>
              <c:tx>
                <c:rich>
                  <a:bodyPr/>
                  <a:lstStyle/>
                  <a:p>
                    <a:fld id="{0B2401F2-F8FF-4F47-8F99-E1BBA0DE3F10}" type="CELLRANGE">
                      <a:rPr lang="en-US" baseline="0"/>
                      <a:pPr/>
                      <a:t>[CELLRANGE]</a:t>
                    </a:fld>
                    <a:r>
                      <a:rPr lang="en-US" baseline="0"/>
                      <a:t>, </a:t>
                    </a:r>
                    <a:fld id="{B2AB3167-B72C-42B1-9EDE-CF25B2397E9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99EE-49E3-B513-8AD0892989BF}"/>
                </c:ext>
              </c:extLst>
            </c:dLbl>
            <c:dLbl>
              <c:idx val="19"/>
              <c:layout>
                <c:manualLayout>
                  <c:x val="-4.2803415152284904E-2"/>
                  <c:y val="-5.7315119700946465E-2"/>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fld id="{9809910D-89DB-4628-A06A-7670EE4BD427}" type="CELLRANGE">
                      <a:rPr lang="en-US" baseline="0"/>
                      <a:pPr>
                        <a:defRPr sz="800"/>
                      </a:pPr>
                      <a:t>[CELLRANGE]</a:t>
                    </a:fld>
                    <a:r>
                      <a:rPr lang="en-US" baseline="0"/>
                      <a:t>, </a:t>
                    </a:r>
                    <a:fld id="{8703019A-8E89-4570-8DF3-7E513CE1E156}" type="BUBBLESIZE">
                      <a:rPr lang="en-US" baseline="0"/>
                      <a:pPr>
                        <a:defRPr sz="800"/>
                      </a:pPr>
                      <a:t>[BUBBLE SIZE]</a:t>
                    </a:fld>
                    <a:endParaRPr lang="en-US" baseline="0"/>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extLst>
                <c:ext xmlns:c15="http://schemas.microsoft.com/office/drawing/2012/chart" uri="{CE6537A1-D6FC-4f65-9D91-7224C49458BB}">
                  <c15:layout>
                    <c:manualLayout>
                      <c:w val="4.5527859237536647E-2"/>
                      <c:h val="2.1747554282987355E-2"/>
                    </c:manualLayout>
                  </c15:layout>
                  <c15:dlblFieldTable/>
                  <c15:showDataLabelsRange val="1"/>
                </c:ext>
                <c:ext xmlns:c16="http://schemas.microsoft.com/office/drawing/2014/chart" uri="{C3380CC4-5D6E-409C-BE32-E72D297353CC}">
                  <c16:uniqueId val="{00000013-99EE-49E3-B513-8AD0892989BF}"/>
                </c:ext>
              </c:extLst>
            </c:dLbl>
            <c:dLbl>
              <c:idx val="20"/>
              <c:layout>
                <c:manualLayout>
                  <c:x val="-6.5257348696515574E-3"/>
                  <c:y val="0.11525093454227313"/>
                </c:manualLayout>
              </c:layout>
              <c:tx>
                <c:rich>
                  <a:bodyPr/>
                  <a:lstStyle/>
                  <a:p>
                    <a:fld id="{F85091B4-1BD8-44F6-B266-CAD1D57B9288}" type="CELLRANGE">
                      <a:rPr lang="en-US" baseline="0"/>
                      <a:pPr/>
                      <a:t>[CELLRANGE]</a:t>
                    </a:fld>
                    <a:r>
                      <a:rPr lang="en-US" baseline="0"/>
                      <a:t>, </a:t>
                    </a:r>
                    <a:fld id="{9884D5FC-7E50-433B-BB9F-6B5634E9EEB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99EE-49E3-B513-8AD0892989BF}"/>
                </c:ext>
              </c:extLst>
            </c:dLbl>
            <c:dLbl>
              <c:idx val="21"/>
              <c:layout>
                <c:manualLayout>
                  <c:x val="-9.091763456254183E-2"/>
                  <c:y val="-1.8130915453750247E-2"/>
                </c:manualLayout>
              </c:layout>
              <c:tx>
                <c:rich>
                  <a:bodyPr/>
                  <a:lstStyle/>
                  <a:p>
                    <a:fld id="{4C5363C3-2873-4283-A809-163102C34C2C}" type="CELLRANGE">
                      <a:rPr lang="en-US" baseline="0"/>
                      <a:pPr/>
                      <a:t>[CELLRANGE]</a:t>
                    </a:fld>
                    <a:r>
                      <a:rPr lang="en-US" baseline="0"/>
                      <a:t>, </a:t>
                    </a:r>
                    <a:fld id="{3E979E57-A01A-453E-A48F-32E92D7F516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99EE-49E3-B513-8AD0892989BF}"/>
                </c:ext>
              </c:extLst>
            </c:dLbl>
            <c:dLbl>
              <c:idx val="22"/>
              <c:layout>
                <c:manualLayout>
                  <c:x val="-0.11650391391691874"/>
                  <c:y val="0.11928115803706354"/>
                </c:manualLayout>
              </c:layout>
              <c:tx>
                <c:rich>
                  <a:bodyPr/>
                  <a:lstStyle/>
                  <a:p>
                    <a:fld id="{D2D84DB9-B498-4BC1-8B5F-496E694C19E2}" type="CELLRANGE">
                      <a:rPr lang="en-US" baseline="0"/>
                      <a:pPr/>
                      <a:t>[CELLRANGE]</a:t>
                    </a:fld>
                    <a:r>
                      <a:rPr lang="en-US" baseline="0"/>
                      <a:t>, </a:t>
                    </a:r>
                    <a:fld id="{AEFDA45B-37A7-429A-AA57-A33BB5FF56A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99EE-49E3-B513-8AD0892989BF}"/>
                </c:ext>
              </c:extLst>
            </c:dLbl>
            <c:dLbl>
              <c:idx val="23"/>
              <c:layout>
                <c:manualLayout>
                  <c:x val="-7.1878680120996602E-2"/>
                  <c:y val="9.1879742304939005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99EE-49E3-B513-8AD0892989BF}"/>
                </c:ext>
              </c:extLst>
            </c:dLbl>
            <c:dLbl>
              <c:idx val="24"/>
              <c:layout>
                <c:manualLayout>
                  <c:x val="-1.6148313205717427E-2"/>
                  <c:y val="4.1433229937166943E-2"/>
                </c:manualLayout>
              </c:layout>
              <c:tx>
                <c:rich>
                  <a:bodyPr/>
                  <a:lstStyle/>
                  <a:p>
                    <a:fld id="{92ACC859-8853-41CB-B3D0-427EFACEF4A6}" type="CELLRANGE">
                      <a:rPr lang="en-US" baseline="0"/>
                      <a:pPr/>
                      <a:t>[CELLRANGE]</a:t>
                    </a:fld>
                    <a:r>
                      <a:rPr lang="en-US" baseline="0"/>
                      <a:t>, </a:t>
                    </a:r>
                    <a:fld id="{3695EA0A-F8D6-4C86-8158-DD4A383C617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99EE-49E3-B513-8AD0892989BF}"/>
                </c:ext>
              </c:extLst>
            </c:dLbl>
            <c:dLbl>
              <c:idx val="25"/>
              <c:layout>
                <c:manualLayout>
                  <c:x val="1.543722723809084E-2"/>
                  <c:y val="-1.5208780720591819E-2"/>
                </c:manualLayout>
              </c:layout>
              <c:tx>
                <c:rich>
                  <a:bodyPr/>
                  <a:lstStyle/>
                  <a:p>
                    <a:fld id="{7351F602-4F70-4841-9587-58DF24896103}" type="CELLRANGE">
                      <a:rPr lang="en-US" baseline="0"/>
                      <a:pPr/>
                      <a:t>[CELLRANGE]</a:t>
                    </a:fld>
                    <a:r>
                      <a:rPr lang="en-US" baseline="0"/>
                      <a:t>, </a:t>
                    </a:r>
                    <a:fld id="{2F240B34-9A58-4B5D-9E65-6959552FFE8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9-99EE-49E3-B513-8AD0892989BF}"/>
                </c:ext>
              </c:extLst>
            </c:dLbl>
            <c:dLbl>
              <c:idx val="26"/>
              <c:layout>
                <c:manualLayout>
                  <c:x val="-5.4265130348442513E-2"/>
                  <c:y val="0.16969951483337309"/>
                </c:manualLayout>
              </c:layout>
              <c:tx>
                <c:rich>
                  <a:bodyPr/>
                  <a:lstStyle/>
                  <a:p>
                    <a:fld id="{76761741-D7A2-40CC-9EF7-BEFD62094C41}" type="CELLRANGE">
                      <a:rPr lang="en-US" baseline="0"/>
                      <a:pPr/>
                      <a:t>[CELLRANGE]</a:t>
                    </a:fld>
                    <a:r>
                      <a:rPr lang="en-US" baseline="0"/>
                      <a:t>, </a:t>
                    </a:r>
                    <a:fld id="{0AB9A30E-2AB1-4D21-9903-01E237C8159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A-99EE-49E3-B513-8AD0892989BF}"/>
                </c:ext>
              </c:extLst>
            </c:dLbl>
            <c:dLbl>
              <c:idx val="27"/>
              <c:layout>
                <c:manualLayout>
                  <c:x val="-8.7269725448541807E-2"/>
                  <c:y val="3.1301678199315994E-2"/>
                </c:manualLayout>
              </c:layout>
              <c:tx>
                <c:rich>
                  <a:bodyPr/>
                  <a:lstStyle/>
                  <a:p>
                    <a:fld id="{9DDDCF96-CEF1-46F7-A091-EB885EC3DEFD}" type="CELLRANGE">
                      <a:rPr lang="en-US" baseline="0"/>
                      <a:pPr/>
                      <a:t>[CELLRANGE]</a:t>
                    </a:fld>
                    <a:r>
                      <a:rPr lang="en-US" baseline="0"/>
                      <a:t>, </a:t>
                    </a:r>
                    <a:fld id="{18994908-E3F6-4E88-B7C8-97B91703ABC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99EE-49E3-B513-8AD0892989BF}"/>
                </c:ext>
              </c:extLst>
            </c:dLbl>
            <c:dLbl>
              <c:idx val="28"/>
              <c:layout>
                <c:manualLayout>
                  <c:x val="1.7650148936661402E-2"/>
                  <c:y val="0.15747633818499959"/>
                </c:manualLayout>
              </c:layout>
              <c:tx>
                <c:rich>
                  <a:bodyPr/>
                  <a:lstStyle/>
                  <a:p>
                    <a:fld id="{E873FF81-FDA1-4709-B256-FDDEEBBF50A1}" type="CELLRANGE">
                      <a:rPr lang="en-US" baseline="0"/>
                      <a:pPr/>
                      <a:t>[CELLRANGE]</a:t>
                    </a:fld>
                    <a:r>
                      <a:rPr lang="en-US" baseline="0"/>
                      <a:t>, </a:t>
                    </a:r>
                    <a:fld id="{DE94DD93-B9B7-465B-BEB5-967DDBDD968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C-99EE-49E3-B513-8AD0892989BF}"/>
                </c:ext>
              </c:extLst>
            </c:dLbl>
            <c:dLbl>
              <c:idx val="29"/>
              <c:layout>
                <c:manualLayout>
                  <c:x val="4.764910984367423E-2"/>
                  <c:y val="3.7326652350274395E-2"/>
                </c:manualLayout>
              </c:layout>
              <c:tx>
                <c:rich>
                  <a:bodyPr/>
                  <a:lstStyle/>
                  <a:p>
                    <a:fld id="{CFC41606-4914-4C9A-9841-08EBCCA65481}" type="CELLRANGE">
                      <a:rPr lang="en-US" baseline="0"/>
                      <a:pPr/>
                      <a:t>[CELLRANGE]</a:t>
                    </a:fld>
                    <a:r>
                      <a:rPr lang="en-US" baseline="0"/>
                      <a:t>, </a:t>
                    </a:r>
                    <a:fld id="{2D113781-4CBF-4D57-94AB-E9553F3CA8B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D-99EE-49E3-B513-8AD0892989BF}"/>
                </c:ext>
              </c:extLst>
            </c:dLbl>
            <c:dLbl>
              <c:idx val="30"/>
              <c:layout>
                <c:manualLayout>
                  <c:x val="-0.1025673678620084"/>
                  <c:y val="0.1413785095044936"/>
                </c:manualLayout>
              </c:layout>
              <c:tx>
                <c:rich>
                  <a:bodyPr/>
                  <a:lstStyle/>
                  <a:p>
                    <a:fld id="{AF747175-1C58-4361-9BB9-769CCCB34CE7}" type="CELLRANGE">
                      <a:rPr lang="en-US" baseline="0"/>
                      <a:pPr/>
                      <a:t>[CELLRANGE]</a:t>
                    </a:fld>
                    <a:r>
                      <a:rPr lang="en-US" baseline="0"/>
                      <a:t>, </a:t>
                    </a:r>
                    <a:fld id="{4560AFA3-4738-47A4-96E0-379BE296AD4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99EE-49E3-B513-8AD0892989BF}"/>
                </c:ext>
              </c:extLst>
            </c:dLbl>
            <c:dLbl>
              <c:idx val="31"/>
              <c:layout>
                <c:manualLayout>
                  <c:x val="-9.6054448472533333E-2"/>
                  <c:y val="-2.7475224687823187E-2"/>
                </c:manualLayout>
              </c:layout>
              <c:tx>
                <c:rich>
                  <a:bodyPr/>
                  <a:lstStyle/>
                  <a:p>
                    <a:fld id="{66105B0C-7783-444D-A903-F8EAB85E9398}" type="CELLRANGE">
                      <a:rPr lang="en-US" baseline="0"/>
                      <a:pPr/>
                      <a:t>[CELLRANGE]</a:t>
                    </a:fld>
                    <a:r>
                      <a:rPr lang="en-US" baseline="0"/>
                      <a:t>, </a:t>
                    </a:r>
                    <a:fld id="{F2405E34-39AC-4D42-BD9D-B5704EE31DD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99EE-49E3-B513-8AD0892989BF}"/>
                </c:ext>
              </c:extLst>
            </c:dLbl>
            <c:dLbl>
              <c:idx val="32"/>
              <c:layout>
                <c:manualLayout>
                  <c:x val="-0.10998464451474363"/>
                  <c:y val="-0.12314817465998569"/>
                </c:manualLayout>
              </c:layout>
              <c:tx>
                <c:rich>
                  <a:bodyPr/>
                  <a:lstStyle/>
                  <a:p>
                    <a:fld id="{7E08D090-69C8-4166-B187-6497F2253639}" type="CELLRANGE">
                      <a:rPr lang="en-US" baseline="0"/>
                      <a:pPr/>
                      <a:t>[CELLRANGE]</a:t>
                    </a:fld>
                    <a:r>
                      <a:rPr lang="en-US" baseline="0"/>
                      <a:t>, </a:t>
                    </a:r>
                    <a:fld id="{BD7D6AA6-9BB8-4E2E-A6B1-8E4DFE74F4F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0-99EE-49E3-B513-8AD0892989BF}"/>
                </c:ext>
              </c:extLst>
            </c:dLbl>
            <c:dLbl>
              <c:idx val="33"/>
              <c:layout>
                <c:manualLayout>
                  <c:x val="-6.150518391945875E-2"/>
                  <c:y val="-6.261353694424561E-2"/>
                </c:manualLayout>
              </c:layout>
              <c:tx>
                <c:rich>
                  <a:bodyPr/>
                  <a:lstStyle/>
                  <a:p>
                    <a:fld id="{AAD96DD1-C7AD-498D-B536-C2C13C16CCF3}" type="CELLRANGE">
                      <a:rPr lang="en-US" baseline="0"/>
                      <a:pPr/>
                      <a:t>[CELLRANGE]</a:t>
                    </a:fld>
                    <a:r>
                      <a:rPr lang="en-US" baseline="0"/>
                      <a:t>, </a:t>
                    </a:r>
                    <a:fld id="{E38641DF-4420-4A02-8DE4-1ABAA435C98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1-99EE-49E3-B513-8AD0892989BF}"/>
                </c:ext>
              </c:extLst>
            </c:dLbl>
            <c:dLbl>
              <c:idx val="34"/>
              <c:layout>
                <c:manualLayout>
                  <c:x val="-5.9392246057219385E-2"/>
                  <c:y val="-7.0668893661019722E-2"/>
                </c:manualLayout>
              </c:layout>
              <c:tx>
                <c:rich>
                  <a:bodyPr/>
                  <a:lstStyle/>
                  <a:p>
                    <a:fld id="{73332B53-B3A9-4748-8509-B38BF553A937}" type="CELLRANGE">
                      <a:rPr lang="en-US" baseline="0"/>
                      <a:pPr/>
                      <a:t>[CELLRANGE]</a:t>
                    </a:fld>
                    <a:r>
                      <a:rPr lang="en-US" baseline="0"/>
                      <a:t>, </a:t>
                    </a:r>
                    <a:fld id="{0F8FF6F1-0209-4E39-B804-8E59A68D9DC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99EE-49E3-B513-8AD0892989BF}"/>
                </c:ext>
              </c:extLst>
            </c:dLbl>
            <c:dLbl>
              <c:idx val="35"/>
              <c:layout>
                <c:manualLayout>
                  <c:x val="-8.0659131318262689E-2"/>
                  <c:y val="6.8722500596516342E-2"/>
                </c:manualLayout>
              </c:layout>
              <c:tx>
                <c:rich>
                  <a:bodyPr/>
                  <a:lstStyle/>
                  <a:p>
                    <a:fld id="{9EC44973-AEED-4B00-83EF-8DAF04DC9045}" type="CELLRANGE">
                      <a:rPr lang="en-US" baseline="0"/>
                      <a:pPr/>
                      <a:t>[CELLRANGE]</a:t>
                    </a:fld>
                    <a:r>
                      <a:rPr lang="en-US" baseline="0"/>
                      <a:t>, </a:t>
                    </a:r>
                    <a:fld id="{80ADAB8A-DBAC-4C9C-8B73-C9976684F2C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99EE-49E3-B513-8AD0892989BF}"/>
                </c:ext>
              </c:extLst>
            </c:dLbl>
            <c:dLbl>
              <c:idx val="36"/>
              <c:layout>
                <c:manualLayout>
                  <c:x val="-5.4238229385549681E-2"/>
                  <c:y val="0.17159230096237957"/>
                </c:manualLayout>
              </c:layout>
              <c:tx>
                <c:rich>
                  <a:bodyPr/>
                  <a:lstStyle/>
                  <a:p>
                    <a:fld id="{CB1C8112-5B0F-4A2F-897C-E85CCE0AAFF6}" type="CELLRANGE">
                      <a:rPr lang="en-US" baseline="0"/>
                      <a:pPr/>
                      <a:t>[CELLRANGE]</a:t>
                    </a:fld>
                    <a:r>
                      <a:rPr lang="en-US" baseline="0"/>
                      <a:t>, </a:t>
                    </a:r>
                    <a:fld id="{AFD3956B-4581-43D5-BF26-FE9066674C6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4-99EE-49E3-B513-8AD0892989BF}"/>
                </c:ext>
              </c:extLst>
            </c:dLbl>
            <c:dLbl>
              <c:idx val="37"/>
              <c:layout>
                <c:manualLayout>
                  <c:x val="-8.204481954418455E-2"/>
                  <c:y val="-6.6707388849121127E-2"/>
                </c:manualLayout>
              </c:layout>
              <c:tx>
                <c:rich>
                  <a:bodyPr/>
                  <a:lstStyle/>
                  <a:p>
                    <a:fld id="{837A5274-376E-46A4-9680-6C91ADAB852F}" type="CELLRANGE">
                      <a:rPr lang="en-US" baseline="0"/>
                      <a:pPr/>
                      <a:t>[CELLRANGE]</a:t>
                    </a:fld>
                    <a:r>
                      <a:rPr lang="en-US" baseline="0"/>
                      <a:t>, </a:t>
                    </a:r>
                    <a:fld id="{EAB0D45C-BFD7-4204-9A94-7A2553586D2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5-99EE-49E3-B513-8AD0892989BF}"/>
                </c:ext>
              </c:extLst>
            </c:dLbl>
            <c:dLbl>
              <c:idx val="38"/>
              <c:layout>
                <c:manualLayout>
                  <c:x val="-0.11072367053825016"/>
                  <c:y val="-0.11716662689891029"/>
                </c:manualLayout>
              </c:layout>
              <c:tx>
                <c:rich>
                  <a:bodyPr/>
                  <a:lstStyle/>
                  <a:p>
                    <a:fld id="{5BEBD044-39D4-43D3-B0E0-7497A91E47D1}" type="CELLRANGE">
                      <a:rPr lang="en-US" baseline="0"/>
                      <a:pPr/>
                      <a:t>[CELLRANGE]</a:t>
                    </a:fld>
                    <a:r>
                      <a:rPr lang="en-US" baseline="0"/>
                      <a:t>, </a:t>
                    </a:r>
                    <a:fld id="{488861DE-055A-4B2A-9C55-F177486972E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99EE-49E3-B513-8AD0892989BF}"/>
                </c:ext>
              </c:extLst>
            </c:dLbl>
            <c:dLbl>
              <c:idx val="39"/>
              <c:layout>
                <c:manualLayout>
                  <c:x val="-8.6542475812224351E-2"/>
                  <c:y val="0.14851666268989103"/>
                </c:manualLayout>
              </c:layout>
              <c:tx>
                <c:rich>
                  <a:bodyPr/>
                  <a:lstStyle/>
                  <a:p>
                    <a:fld id="{622AAC5D-2A89-40DC-9C9E-4A83DEA150F9}" type="CELLRANGE">
                      <a:rPr lang="en-US" baseline="0"/>
                      <a:pPr/>
                      <a:t>[CELLRANGE]</a:t>
                    </a:fld>
                    <a:r>
                      <a:rPr lang="en-US" baseline="0"/>
                      <a:t>, </a:t>
                    </a:r>
                    <a:fld id="{A60F5CE2-CBFC-4BEB-ACAA-69FF6DE3580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99EE-49E3-B513-8AD0892989BF}"/>
                </c:ext>
              </c:extLst>
            </c:dLbl>
            <c:dLbl>
              <c:idx val="40"/>
              <c:layout>
                <c:manualLayout>
                  <c:x val="-4.9060659939501698E-2"/>
                  <c:y val="4.8581722739203054E-2"/>
                </c:manualLayout>
              </c:layout>
              <c:tx>
                <c:rich>
                  <a:bodyPr/>
                  <a:lstStyle/>
                  <a:p>
                    <a:fld id="{FC8A03BF-5692-468E-B402-406CB2B30AB6}" type="CELLRANGE">
                      <a:rPr lang="en-US" baseline="0"/>
                      <a:pPr/>
                      <a:t>[CELLRANGE]</a:t>
                    </a:fld>
                    <a:r>
                      <a:rPr lang="en-US" baseline="0"/>
                      <a:t>, </a:t>
                    </a:r>
                    <a:fld id="{2218F660-213D-413F-814D-E673EAA2FF4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8-99EE-49E3-B513-8AD0892989BF}"/>
                </c:ext>
              </c:extLst>
            </c:dLbl>
            <c:dLbl>
              <c:idx val="41"/>
              <c:layout>
                <c:manualLayout>
                  <c:x val="-9.6744059851756117E-2"/>
                  <c:y val="4.8408494392746214E-2"/>
                </c:manualLayout>
              </c:layout>
              <c:tx>
                <c:rich>
                  <a:bodyPr/>
                  <a:lstStyle/>
                  <a:p>
                    <a:fld id="{004E4947-DF81-4682-BFEB-10DD909998BD}" type="CELLRANGE">
                      <a:rPr lang="en-US" baseline="0"/>
                      <a:pPr/>
                      <a:t>[CELLRANGE]</a:t>
                    </a:fld>
                    <a:r>
                      <a:rPr lang="en-US" baseline="0"/>
                      <a:t>, </a:t>
                    </a:r>
                    <a:fld id="{47497D81-16CA-4154-9017-D72559D24B9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9-99EE-49E3-B513-8AD0892989BF}"/>
                </c:ext>
              </c:extLst>
            </c:dLbl>
            <c:dLbl>
              <c:idx val="42"/>
              <c:layout>
                <c:manualLayout>
                  <c:x val="-2.2246980857599154E-3"/>
                  <c:y val="0.18693613298337708"/>
                </c:manualLayout>
              </c:layout>
              <c:tx>
                <c:rich>
                  <a:bodyPr/>
                  <a:lstStyle/>
                  <a:p>
                    <a:fld id="{49E80B8E-855E-441B-8E83-826E5FF7D25A}" type="CELLRANGE">
                      <a:rPr lang="en-US" baseline="0"/>
                      <a:pPr/>
                      <a:t>[CELLRANGE]</a:t>
                    </a:fld>
                    <a:r>
                      <a:rPr lang="en-US" baseline="0"/>
                      <a:t>, </a:t>
                    </a:r>
                    <a:fld id="{EDB531FD-5D9E-4E45-B8A0-030C231957D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A-99EE-49E3-B513-8AD0892989BF}"/>
                </c:ext>
              </c:extLst>
            </c:dLbl>
            <c:dLbl>
              <c:idx val="43"/>
              <c:layout>
                <c:manualLayout>
                  <c:x val="-8.793566859860992E-2"/>
                  <c:y val="-3.6330549590392183E-2"/>
                </c:manualLayout>
              </c:layout>
              <c:tx>
                <c:rich>
                  <a:bodyPr/>
                  <a:lstStyle/>
                  <a:p>
                    <a:fld id="{7E11ABBC-13BB-4097-B36F-2A3F5DFD6ADF}" type="CELLRANGE">
                      <a:rPr lang="en-US" baseline="0"/>
                      <a:pPr/>
                      <a:t>[CELLRANGE]</a:t>
                    </a:fld>
                    <a:r>
                      <a:rPr lang="en-US" baseline="0"/>
                      <a:t>, </a:t>
                    </a:r>
                    <a:fld id="{0C7CECA4-75C0-4837-B2B0-B3509159548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B-99EE-49E3-B513-8AD0892989BF}"/>
                </c:ext>
              </c:extLst>
            </c:dLbl>
            <c:dLbl>
              <c:idx val="44"/>
              <c:layout>
                <c:manualLayout>
                  <c:x val="-8.9454591636456054E-2"/>
                  <c:y val="1.6235425117314881E-2"/>
                </c:manualLayout>
              </c:layout>
              <c:tx>
                <c:rich>
                  <a:bodyPr/>
                  <a:lstStyle/>
                  <a:p>
                    <a:fld id="{DB67FD54-6A0C-4EFC-87FE-D548FCBBD985}" type="CELLRANGE">
                      <a:rPr lang="en-US" baseline="0"/>
                      <a:pPr/>
                      <a:t>[CELLRANGE]</a:t>
                    </a:fld>
                    <a:r>
                      <a:rPr lang="en-US" baseline="0"/>
                      <a:t>, </a:t>
                    </a:r>
                    <a:fld id="{6F8AC747-09B1-4846-95FB-BAEF327E289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C-99EE-49E3-B513-8AD0892989BF}"/>
                </c:ext>
              </c:extLst>
            </c:dLbl>
            <c:dLbl>
              <c:idx val="45"/>
              <c:layout>
                <c:manualLayout>
                  <c:x val="1.9778095919828095E-2"/>
                  <c:y val="1.1102203133699048E-2"/>
                </c:manualLayout>
              </c:layout>
              <c:tx>
                <c:rich>
                  <a:bodyPr/>
                  <a:lstStyle/>
                  <a:p>
                    <a:fld id="{534B8261-97EA-454F-9B34-941B55D67960}" type="CELLRANGE">
                      <a:rPr lang="en-US" baseline="0"/>
                      <a:pPr/>
                      <a:t>[CELLRANGE]</a:t>
                    </a:fld>
                    <a:r>
                      <a:rPr lang="en-US" baseline="0"/>
                      <a:t>, </a:t>
                    </a:r>
                    <a:fld id="{FBB0EB33-54EE-483E-849B-A4CE19922A9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D-99EE-49E3-B513-8AD0892989BF}"/>
                </c:ext>
              </c:extLst>
            </c:dLbl>
            <c:dLbl>
              <c:idx val="46"/>
              <c:layout>
                <c:manualLayout>
                  <c:x val="-8.5043988269794715E-2"/>
                  <c:y val="4.4444444444444446E-2"/>
                </c:manualLayout>
              </c:layout>
              <c:tx>
                <c:rich>
                  <a:bodyPr/>
                  <a:lstStyle/>
                  <a:p>
                    <a:fld id="{F553E37E-110D-4A7D-AC1D-6B56370C7229}" type="CELLRANGE">
                      <a:rPr lang="en-US" baseline="0"/>
                      <a:pPr/>
                      <a:t>[CELLRANGE]</a:t>
                    </a:fld>
                    <a:r>
                      <a:rPr lang="en-US" baseline="0"/>
                      <a:t>, </a:t>
                    </a:r>
                    <a:fld id="{F6062917-A857-4FDB-B8BA-DD53B54FC98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E-99EE-49E3-B513-8AD0892989BF}"/>
                </c:ext>
              </c:extLst>
            </c:dLbl>
            <c:dLbl>
              <c:idx val="47"/>
              <c:layout>
                <c:manualLayout>
                  <c:x val="1.4286374027293509E-3"/>
                  <c:y val="-0.18473252207110474"/>
                </c:manualLayout>
              </c:layout>
              <c:tx>
                <c:rich>
                  <a:bodyPr/>
                  <a:lstStyle/>
                  <a:p>
                    <a:fld id="{B4EDAD01-60B5-4448-B888-23FF6F8B3AEF}" type="CELLRANGE">
                      <a:rPr lang="en-US" baseline="0"/>
                      <a:pPr/>
                      <a:t>[CELLRANGE]</a:t>
                    </a:fld>
                    <a:r>
                      <a:rPr lang="en-US" baseline="0"/>
                      <a:t>, </a:t>
                    </a:r>
                    <a:fld id="{3E1E129B-E4BA-4515-B849-BA7E64BB5C3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99EE-49E3-B513-8AD0892989BF}"/>
                </c:ext>
              </c:extLst>
            </c:dLbl>
            <c:dLbl>
              <c:idx val="48"/>
              <c:layout>
                <c:manualLayout>
                  <c:x val="5.276664280601278E-2"/>
                  <c:y val="6.8704684641692521E-2"/>
                </c:manualLayout>
              </c:layout>
              <c:tx>
                <c:rich>
                  <a:bodyPr/>
                  <a:lstStyle/>
                  <a:p>
                    <a:fld id="{8B32013B-F4F8-4B93-93F0-2361BC964B66}" type="CELLRANGE">
                      <a:rPr lang="en-US" baseline="0"/>
                      <a:pPr/>
                      <a:t>[CELLRANGE]</a:t>
                    </a:fld>
                    <a:r>
                      <a:rPr lang="en-US" baseline="0"/>
                      <a:t>, </a:t>
                    </a:r>
                    <a:fld id="{4C698ECF-F6F9-413D-877D-5740DA0B36B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0-99EE-49E3-B513-8AD0892989BF}"/>
                </c:ext>
              </c:extLst>
            </c:dLbl>
            <c:dLbl>
              <c:idx val="49"/>
              <c:layout>
                <c:manualLayout>
                  <c:x val="-0.14369720830350752"/>
                  <c:y val="9.0954903364352177E-2"/>
                </c:manualLayout>
              </c:layout>
              <c:tx>
                <c:rich>
                  <a:bodyPr/>
                  <a:lstStyle/>
                  <a:p>
                    <a:fld id="{68C5C05A-F5D1-4D90-B75C-C516D0B263B2}" type="CELLRANGE">
                      <a:rPr lang="en-US" baseline="0"/>
                      <a:pPr/>
                      <a:t>[CELLRANGE]</a:t>
                    </a:fld>
                    <a:r>
                      <a:rPr lang="en-US" baseline="0"/>
                      <a:t>, </a:t>
                    </a:r>
                    <a:fld id="{B13666CA-7D99-4E92-9F75-520560DCB00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1-99EE-49E3-B513-8AD0892989BF}"/>
                </c:ext>
              </c:extLst>
            </c:dLbl>
            <c:dLbl>
              <c:idx val="50"/>
              <c:layout>
                <c:manualLayout>
                  <c:x val="-7.5443923615119951E-2"/>
                  <c:y val="0.11099642090193271"/>
                </c:manualLayout>
              </c:layout>
              <c:tx>
                <c:rich>
                  <a:bodyPr/>
                  <a:lstStyle/>
                  <a:p>
                    <a:fld id="{B1D64564-0D18-470E-B843-A2F5D7C960E5}" type="CELLRANGE">
                      <a:rPr lang="en-US" baseline="0"/>
                      <a:pPr/>
                      <a:t>[CELLRANGE]</a:t>
                    </a:fld>
                    <a:r>
                      <a:rPr lang="en-US" baseline="0"/>
                      <a:t>, </a:t>
                    </a:r>
                    <a:fld id="{A0983AF5-C24D-46A8-A428-63E662F8E87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2-99EE-49E3-B513-8AD0892989BF}"/>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Model'!$S$16:$S$66</c:f>
              <c:numCache>
                <c:formatCode>0%</c:formatCode>
                <c:ptCount val="51"/>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4-99EE-49E3-B513-8AD0892989BF}"/>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6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PepsiCo U.S. Locations, U.S. Risk Scenario Matrix</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1223843720414715"/>
          <c:y val="0.12307945597709376"/>
          <c:w val="0.83554746041360217"/>
          <c:h val="0.74455495470763233"/>
        </c:manualLayout>
      </c:layout>
      <c:bubbleChart>
        <c:varyColors val="0"/>
        <c:ser>
          <c:idx val="0"/>
          <c:order val="0"/>
          <c:tx>
            <c:strRef>
              <c:f>'Stratified Scenario Model PEP'!$P$15</c:f>
              <c:strCache>
                <c:ptCount val="1"/>
                <c:pt idx="0">
                  <c:v>Test Positive Rate Current</c:v>
                </c:pt>
              </c:strCache>
            </c:strRef>
          </c:tx>
          <c:spPr>
            <a:noFill/>
            <a:ln w="19050">
              <a:solidFill>
                <a:schemeClr val="accent1"/>
              </a:solidFill>
            </a:ln>
            <a:effectLst/>
          </c:spPr>
          <c:invertIfNegative val="0"/>
          <c:dLbls>
            <c:dLbl>
              <c:idx val="0"/>
              <c:layout>
                <c:manualLayout>
                  <c:x val="-0.10117302052785923"/>
                  <c:y val="0.17171717171717157"/>
                </c:manualLayout>
              </c:layout>
              <c:tx>
                <c:rich>
                  <a:bodyPr/>
                  <a:lstStyle/>
                  <a:p>
                    <a:fld id="{85D12B91-1864-48A3-AD53-87A7E85103A0}" type="CELLRANGE">
                      <a:rPr lang="en-US" baseline="0"/>
                      <a:pPr/>
                      <a:t>[CELLRANGE]</a:t>
                    </a:fld>
                    <a:r>
                      <a:rPr lang="en-US" baseline="0"/>
                      <a:t>, </a:t>
                    </a:r>
                    <a:fld id="{F7F6AE82-8EEB-4A13-91D2-65D9F8E76A8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DA87-44F7-99CA-1D084091321E}"/>
                </c:ext>
              </c:extLst>
            </c:dLbl>
            <c:dLbl>
              <c:idx val="1"/>
              <c:layout>
                <c:manualLayout>
                  <c:x val="1.6130071351051795E-2"/>
                  <c:y val="-5.3528990694345101E-2"/>
                </c:manualLayout>
              </c:layout>
              <c:tx>
                <c:rich>
                  <a:bodyPr/>
                  <a:lstStyle/>
                  <a:p>
                    <a:fld id="{F50D7D3C-B8DF-4DAA-8E31-A92E8F2FAA30}" type="CELLRANGE">
                      <a:rPr lang="en-US" baseline="0"/>
                      <a:pPr/>
                      <a:t>[CELLRANGE]</a:t>
                    </a:fld>
                    <a:r>
                      <a:rPr lang="en-US" baseline="0"/>
                      <a:t>, </a:t>
                    </a:r>
                    <a:fld id="{720995B8-77B5-4F8C-B72E-6D1405B20B9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DA87-44F7-99CA-1D084091321E}"/>
                </c:ext>
              </c:extLst>
            </c:dLbl>
            <c:dLbl>
              <c:idx val="2"/>
              <c:layout>
                <c:manualLayout>
                  <c:x val="1.0258503244279108E-2"/>
                  <c:y val="-0.19004676688141256"/>
                </c:manualLayout>
              </c:layout>
              <c:tx>
                <c:rich>
                  <a:bodyPr/>
                  <a:lstStyle/>
                  <a:p>
                    <a:fld id="{3371F369-4982-4DED-A0D0-76A2FA1D34CE}" type="CELLRANGE">
                      <a:rPr lang="en-US" baseline="0"/>
                      <a:pPr/>
                      <a:t>[CELLRANGE]</a:t>
                    </a:fld>
                    <a:r>
                      <a:rPr lang="en-US" baseline="0"/>
                      <a:t>, </a:t>
                    </a:r>
                    <a:fld id="{6D299F02-DA0A-4DE9-9A71-A6F6A9D5B60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DA87-44F7-99CA-1D084091321E}"/>
                </c:ext>
              </c:extLst>
            </c:dLbl>
            <c:dLbl>
              <c:idx val="3"/>
              <c:layout>
                <c:manualLayout>
                  <c:x val="-0.13923384210404796"/>
                  <c:y val="0.15961123041437988"/>
                </c:manualLayout>
              </c:layout>
              <c:tx>
                <c:rich>
                  <a:bodyPr/>
                  <a:lstStyle/>
                  <a:p>
                    <a:fld id="{E59F73AD-8035-4539-B9EA-1775982D2E60}" type="CELLRANGE">
                      <a:rPr lang="en-US" baseline="0"/>
                      <a:pPr/>
                      <a:t>[CELLRANGE]</a:t>
                    </a:fld>
                    <a:r>
                      <a:rPr lang="en-US" baseline="0"/>
                      <a:t>, </a:t>
                    </a:r>
                    <a:fld id="{E43D80F6-48CE-48B7-B9A6-B32FEC14E7F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DA87-44F7-99CA-1D084091321E}"/>
                </c:ext>
              </c:extLst>
            </c:dLbl>
            <c:dLbl>
              <c:idx val="4"/>
              <c:layout>
                <c:manualLayout>
                  <c:x val="-9.6774193548387094E-2"/>
                  <c:y val="8.8929611071343354E-2"/>
                </c:manualLayout>
              </c:layout>
              <c:tx>
                <c:rich>
                  <a:bodyPr/>
                  <a:lstStyle/>
                  <a:p>
                    <a:fld id="{E88A77BE-37D1-4078-8534-99594ECCA6B5}" type="CELLRANGE">
                      <a:rPr lang="en-US" baseline="0"/>
                      <a:pPr/>
                      <a:t>[CELLRANGE]</a:t>
                    </a:fld>
                    <a:r>
                      <a:rPr lang="en-US" baseline="0"/>
                      <a:t>, </a:t>
                    </a:r>
                    <a:fld id="{71EE5F39-9D8B-485F-8236-36665A71444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DA87-44F7-99CA-1D084091321E}"/>
                </c:ext>
              </c:extLst>
            </c:dLbl>
            <c:dLbl>
              <c:idx val="5"/>
              <c:layout>
                <c:manualLayout>
                  <c:x val="3.224732722192717E-2"/>
                  <c:y val="-0.10907054799968185"/>
                </c:manualLayout>
              </c:layout>
              <c:tx>
                <c:rich>
                  <a:bodyPr/>
                  <a:lstStyle/>
                  <a:p>
                    <a:fld id="{615375D2-6068-4B5E-9D12-7D31AA8BFA1B}" type="CELLRANGE">
                      <a:rPr lang="en-US" baseline="0"/>
                      <a:pPr/>
                      <a:t>[CELLRANGE]</a:t>
                    </a:fld>
                    <a:r>
                      <a:rPr lang="en-US" baseline="0"/>
                      <a:t>, </a:t>
                    </a:r>
                    <a:fld id="{3CA7D27C-7EAD-45E3-8DEC-19D0DE7F901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DA87-44F7-99CA-1D084091321E}"/>
                </c:ext>
              </c:extLst>
            </c:dLbl>
            <c:dLbl>
              <c:idx val="6"/>
              <c:layout>
                <c:manualLayout>
                  <c:x val="-1.6141963193017403E-2"/>
                  <c:y val="-5.2578700389724009E-2"/>
                </c:manualLayout>
              </c:layout>
              <c:tx>
                <c:rich>
                  <a:bodyPr/>
                  <a:lstStyle/>
                  <a:p>
                    <a:fld id="{EA7B80D0-6AD5-4EFF-81BF-32EC1B02ED68}" type="CELLRANGE">
                      <a:rPr lang="en-US" baseline="0"/>
                      <a:pPr/>
                      <a:t>[CELLRANGE]</a:t>
                    </a:fld>
                    <a:r>
                      <a:rPr lang="en-US" baseline="0"/>
                      <a:t>, </a:t>
                    </a:r>
                    <a:fld id="{BBDE38A8-D566-4931-BFE8-FF803127107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DA87-44F7-99CA-1D084091321E}"/>
                </c:ext>
              </c:extLst>
            </c:dLbl>
            <c:dLbl>
              <c:idx val="7"/>
              <c:layout>
                <c:manualLayout>
                  <c:x val="1.906158357771261E-2"/>
                  <c:y val="0.14343434343434344"/>
                </c:manualLayout>
              </c:layout>
              <c:tx>
                <c:rich>
                  <a:bodyPr/>
                  <a:lstStyle/>
                  <a:p>
                    <a:fld id="{72A61665-89CE-49D9-9830-F7723A80E027}" type="CELLRANGE">
                      <a:rPr lang="en-US" baseline="0"/>
                      <a:pPr/>
                      <a:t>[CELLRANGE]</a:t>
                    </a:fld>
                    <a:r>
                      <a:rPr lang="en-US" baseline="0"/>
                      <a:t>, </a:t>
                    </a:r>
                    <a:fld id="{0491F67C-F57B-4252-8A1C-A7C54A51832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DA87-44F7-99CA-1D084091321E}"/>
                </c:ext>
              </c:extLst>
            </c:dLbl>
            <c:dLbl>
              <c:idx val="8"/>
              <c:layout>
                <c:manualLayout>
                  <c:x val="-2.3498048814279447E-2"/>
                  <c:y val="-0.1212808398950132"/>
                </c:manualLayout>
              </c:layout>
              <c:tx>
                <c:rich>
                  <a:bodyPr/>
                  <a:lstStyle/>
                  <a:p>
                    <a:fld id="{71A715C8-BA40-477E-9785-C563D955E79F}" type="CELLRANGE">
                      <a:rPr lang="en-US" baseline="0"/>
                      <a:pPr/>
                      <a:t>[CELLRANGE]</a:t>
                    </a:fld>
                    <a:r>
                      <a:rPr lang="en-US" baseline="0"/>
                      <a:t>, </a:t>
                    </a:r>
                    <a:fld id="{ED3C96C7-278D-4F3D-96D4-C8142A985DA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DA87-44F7-99CA-1D084091321E}"/>
                </c:ext>
              </c:extLst>
            </c:dLbl>
            <c:dLbl>
              <c:idx val="9"/>
              <c:layout>
                <c:manualLayout>
                  <c:x val="6.5277784191931906E-2"/>
                  <c:y val="0.10621220074763382"/>
                </c:manualLayout>
              </c:layout>
              <c:tx>
                <c:rich>
                  <a:bodyPr/>
                  <a:lstStyle/>
                  <a:p>
                    <a:fld id="{6511448D-E9FE-4524-9B44-7D9F79333210}" type="CELLRANGE">
                      <a:rPr lang="en-US" baseline="0"/>
                      <a:pPr/>
                      <a:t>[CELLRANGE]</a:t>
                    </a:fld>
                    <a:r>
                      <a:rPr lang="en-US" baseline="0"/>
                      <a:t>, </a:t>
                    </a:r>
                    <a:fld id="{0128210D-8301-4637-B65B-9773B52981F6}"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DA87-44F7-99CA-1D084091321E}"/>
                </c:ext>
              </c:extLst>
            </c:dLbl>
            <c:dLbl>
              <c:idx val="10"/>
              <c:layout>
                <c:manualLayout>
                  <c:x val="2.3432470501304533E-2"/>
                  <c:y val="-3.8312574564543143E-2"/>
                </c:manualLayout>
              </c:layout>
              <c:tx>
                <c:rich>
                  <a:bodyPr/>
                  <a:lstStyle/>
                  <a:p>
                    <a:fld id="{69FBDB9D-D803-48E4-8350-275F029E019B}" type="CELLRANGE">
                      <a:rPr lang="en-US" baseline="0"/>
                      <a:pPr/>
                      <a:t>[CELLRANGE]</a:t>
                    </a:fld>
                    <a:r>
                      <a:rPr lang="en-US" baseline="0"/>
                      <a:t>, </a:t>
                    </a:r>
                    <a:fld id="{B0AC3C07-8B20-409B-9A88-6AF9FCABB9A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DA87-44F7-99CA-1D084091321E}"/>
                </c:ext>
              </c:extLst>
            </c:dLbl>
            <c:dLbl>
              <c:idx val="11"/>
              <c:layout>
                <c:manualLayout>
                  <c:x val="-7.4776825917288195E-2"/>
                  <c:y val="-0.13933031098385429"/>
                </c:manualLayout>
              </c:layout>
              <c:tx>
                <c:rich>
                  <a:bodyPr/>
                  <a:lstStyle/>
                  <a:p>
                    <a:fld id="{134B7993-50AE-4BFC-8A21-14111D0B2F77}" type="CELLRANGE">
                      <a:rPr lang="en-US" baseline="0"/>
                      <a:pPr/>
                      <a:t>[CELLRANGE]</a:t>
                    </a:fld>
                    <a:r>
                      <a:rPr lang="en-US" baseline="0"/>
                      <a:t>, </a:t>
                    </a:r>
                    <a:fld id="{74667C89-134B-42DB-A9F0-4F89142DC447}"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DA87-44F7-99CA-1D084091321E}"/>
                </c:ext>
              </c:extLst>
            </c:dLbl>
            <c:dLbl>
              <c:idx val="12"/>
              <c:layout>
                <c:manualLayout>
                  <c:x val="-7.3314822084189574E-2"/>
                  <c:y val="-0.17781086455102202"/>
                </c:manualLayout>
              </c:layout>
              <c:tx>
                <c:rich>
                  <a:bodyPr/>
                  <a:lstStyle/>
                  <a:p>
                    <a:fld id="{E64D80CA-9F18-4857-99E8-1AD7CC1FE347}" type="CELLRANGE">
                      <a:rPr lang="en-US" baseline="0"/>
                      <a:pPr/>
                      <a:t>[CELLRANGE]</a:t>
                    </a:fld>
                    <a:r>
                      <a:rPr lang="en-US" baseline="0"/>
                      <a:t>, </a:t>
                    </a:r>
                    <a:fld id="{7D0647A3-05AF-46EB-838C-0E488EC9127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DA87-44F7-99CA-1D084091321E}"/>
                </c:ext>
              </c:extLst>
            </c:dLbl>
            <c:dLbl>
              <c:idx val="13"/>
              <c:layout>
                <c:manualLayout>
                  <c:x val="1.4669222065716858E-2"/>
                  <c:y val="-1.0648214427741987E-3"/>
                </c:manualLayout>
              </c:layout>
              <c:tx>
                <c:rich>
                  <a:bodyPr/>
                  <a:lstStyle/>
                  <a:p>
                    <a:fld id="{3FC218F2-970D-430D-A3EC-6A22D1BBC3D8}" type="CELLRANGE">
                      <a:rPr lang="en-US" baseline="0"/>
                      <a:pPr/>
                      <a:t>[CELLRANGE]</a:t>
                    </a:fld>
                    <a:r>
                      <a:rPr lang="en-US" baseline="0"/>
                      <a:t>, </a:t>
                    </a:r>
                    <a:fld id="{8C9CE9A7-1AF1-42D3-B623-FCC2BA586B1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DA87-44F7-99CA-1D084091321E}"/>
                </c:ext>
              </c:extLst>
            </c:dLbl>
            <c:dLbl>
              <c:idx val="14"/>
              <c:layout>
                <c:manualLayout>
                  <c:x val="-0.17524407139723369"/>
                  <c:y val="8.5842042471963725E-2"/>
                </c:manualLayout>
              </c:layout>
              <c:tx>
                <c:rich>
                  <a:bodyPr/>
                  <a:lstStyle/>
                  <a:p>
                    <a:fld id="{AFA8C2F1-8FE5-4747-AF43-4C97DF3F22A2}" type="CELLRANGE">
                      <a:rPr lang="en-US" baseline="0"/>
                      <a:pPr/>
                      <a:t>[CELLRANGE]</a:t>
                    </a:fld>
                    <a:r>
                      <a:rPr lang="en-US" baseline="0"/>
                      <a:t>, </a:t>
                    </a:r>
                    <a:fld id="{7F56044F-9E97-4670-87C7-DDA1C486320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DA87-44F7-99CA-1D084091321E}"/>
                </c:ext>
              </c:extLst>
            </c:dLbl>
            <c:dLbl>
              <c:idx val="15"/>
              <c:layout>
                <c:manualLayout>
                  <c:x val="-0.15982300782783385"/>
                  <c:y val="-4.2439513242662846E-2"/>
                </c:manualLayout>
              </c:layout>
              <c:tx>
                <c:rich>
                  <a:bodyPr/>
                  <a:lstStyle/>
                  <a:p>
                    <a:fld id="{5A5F1B12-8FF4-4861-9186-5A96839B8699}" type="CELLRANGE">
                      <a:rPr lang="en-US" baseline="0"/>
                      <a:pPr/>
                      <a:t>[CELLRANGE]</a:t>
                    </a:fld>
                    <a:r>
                      <a:rPr lang="en-US" baseline="0"/>
                      <a:t>, </a:t>
                    </a:r>
                    <a:fld id="{D95698D0-4D5D-4DC7-B4F4-8E4613D805D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DA87-44F7-99CA-1D084091321E}"/>
                </c:ext>
              </c:extLst>
            </c:dLbl>
            <c:dLbl>
              <c:idx val="16"/>
              <c:layout>
                <c:manualLayout>
                  <c:x val="-0.18175052531923247"/>
                  <c:y val="-4.2485325697924195E-2"/>
                </c:manualLayout>
              </c:layout>
              <c:tx>
                <c:rich>
                  <a:bodyPr/>
                  <a:lstStyle/>
                  <a:p>
                    <a:fld id="{2A62CD17-8C07-4FDF-BF49-DF780AA41B28}" type="CELLRANGE">
                      <a:rPr lang="en-US" baseline="0"/>
                      <a:pPr/>
                      <a:t>[CELLRANGE]</a:t>
                    </a:fld>
                    <a:r>
                      <a:rPr lang="en-US" baseline="0"/>
                      <a:t>, </a:t>
                    </a:r>
                    <a:fld id="{D75953C6-83E2-4A83-AE2F-44C3C25F936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DA87-44F7-99CA-1D084091321E}"/>
                </c:ext>
              </c:extLst>
            </c:dLbl>
            <c:dLbl>
              <c:idx val="17"/>
              <c:layout>
                <c:manualLayout>
                  <c:x val="-7.1872214653520269E-2"/>
                  <c:y val="5.8517139902966524E-2"/>
                </c:manualLayout>
              </c:layout>
              <c:tx>
                <c:rich>
                  <a:bodyPr/>
                  <a:lstStyle/>
                  <a:p>
                    <a:fld id="{8AE5E1FE-9B5A-440D-91FD-B51B7E818BC6}" type="CELLRANGE">
                      <a:rPr lang="en-US" baseline="0"/>
                      <a:pPr/>
                      <a:t>[CELLRANGE]</a:t>
                    </a:fld>
                    <a:r>
                      <a:rPr lang="en-US" baseline="0"/>
                      <a:t>, </a:t>
                    </a:r>
                    <a:fld id="{89888CC5-3490-4974-AEBA-14228AFB0A3E}"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DA87-44F7-99CA-1D084091321E}"/>
                </c:ext>
              </c:extLst>
            </c:dLbl>
            <c:dLbl>
              <c:idx val="18"/>
              <c:layout>
                <c:manualLayout>
                  <c:x val="5.4241462119287875E-2"/>
                  <c:y val="5.9711922373339693E-2"/>
                </c:manualLayout>
              </c:layout>
              <c:tx>
                <c:rich>
                  <a:bodyPr/>
                  <a:lstStyle/>
                  <a:p>
                    <a:fld id="{33C6074E-C14F-418E-A968-92F6014727A3}" type="CELLRANGE">
                      <a:rPr lang="en-US" baseline="0"/>
                      <a:pPr/>
                      <a:t>[CELLRANGE]</a:t>
                    </a:fld>
                    <a:r>
                      <a:rPr lang="en-US" baseline="0"/>
                      <a:t>, </a:t>
                    </a:r>
                    <a:fld id="{E8B894C0-B4C2-41BA-9C17-51D373EB1CE9}"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DA87-44F7-99CA-1D084091321E}"/>
                </c:ext>
              </c:extLst>
            </c:dLbl>
            <c:dLbl>
              <c:idx val="19"/>
              <c:layout>
                <c:manualLayout>
                  <c:x val="-0.17447502713187243"/>
                  <c:y val="-0.19590105782231768"/>
                </c:manualLayout>
              </c:layout>
              <c:tx>
                <c:rich>
                  <a:bodyPr/>
                  <a:lstStyle/>
                  <a:p>
                    <a:fld id="{7E85BC18-3B8C-477A-8E99-BBDA897FBF63}" type="CELLRANGE">
                      <a:rPr lang="en-US" baseline="0"/>
                      <a:pPr/>
                      <a:t>[CELLRANGE]</a:t>
                    </a:fld>
                    <a:r>
                      <a:rPr lang="en-US" baseline="0"/>
                      <a:t>, </a:t>
                    </a:r>
                    <a:fld id="{3B096E9B-D475-495D-BB62-2AEC8896E62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DA87-44F7-99CA-1D084091321E}"/>
                </c:ext>
              </c:extLst>
            </c:dLbl>
            <c:dLbl>
              <c:idx val="20"/>
              <c:layout>
                <c:manualLayout>
                  <c:x val="-0.23526473780220289"/>
                  <c:y val="5.8685277976616559E-2"/>
                </c:manualLayout>
              </c:layout>
              <c:tx>
                <c:rich>
                  <a:bodyPr/>
                  <a:lstStyle/>
                  <a:p>
                    <a:fld id="{292E9E66-B3B6-40E6-B4A9-32516F15DB95}" type="CELLRANGE">
                      <a:rPr lang="en-US" baseline="0"/>
                      <a:pPr/>
                      <a:t>[CELLRANGE]</a:t>
                    </a:fld>
                    <a:r>
                      <a:rPr lang="en-US" baseline="0"/>
                      <a:t>, </a:t>
                    </a:r>
                    <a:fld id="{6165BEA0-4450-4B7F-B826-63E1E77481D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DA87-44F7-99CA-1D084091321E}"/>
                </c:ext>
              </c:extLst>
            </c:dLbl>
            <c:dLbl>
              <c:idx val="21"/>
              <c:layout>
                <c:manualLayout>
                  <c:x val="-0.19062437943057706"/>
                  <c:y val="0.13944484212200747"/>
                </c:manualLayout>
              </c:layout>
              <c:tx>
                <c:rich>
                  <a:bodyPr/>
                  <a:lstStyle/>
                  <a:p>
                    <a:fld id="{A7E50C55-7E66-4477-8C87-EAD4B05892AE}" type="CELLRANGE">
                      <a:rPr lang="en-US" baseline="0"/>
                      <a:pPr/>
                      <a:t>[CELLRANGE]</a:t>
                    </a:fld>
                    <a:r>
                      <a:rPr lang="en-US" baseline="0"/>
                      <a:t>, </a:t>
                    </a:r>
                    <a:fld id="{148D0B45-71B4-431E-AA48-25EC1A5F102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DA87-44F7-99CA-1D084091321E}"/>
                </c:ext>
              </c:extLst>
            </c:dLbl>
            <c:dLbl>
              <c:idx val="22"/>
              <c:layout>
                <c:manualLayout>
                  <c:x val="-7.5448195441845486E-2"/>
                  <c:y val="-0.15748651873061328"/>
                </c:manualLayout>
              </c:layout>
              <c:tx>
                <c:rich>
                  <a:bodyPr/>
                  <a:lstStyle/>
                  <a:p>
                    <a:fld id="{ABB0E43D-C440-4169-8318-5EA877129954}" type="CELLRANGE">
                      <a:rPr lang="en-US" baseline="0"/>
                      <a:pPr/>
                      <a:t>[CELLRANGE]</a:t>
                    </a:fld>
                    <a:r>
                      <a:rPr lang="en-US" baseline="0"/>
                      <a:t>, </a:t>
                    </a:r>
                    <a:fld id="{63CCD8E9-CCB3-4862-A2E1-3339E1EC4DC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DA87-44F7-99CA-1D084091321E}"/>
                </c:ext>
              </c:extLst>
            </c:dLbl>
            <c:dLbl>
              <c:idx val="23"/>
              <c:layout>
                <c:manualLayout>
                  <c:x val="-0.10413674463712563"/>
                  <c:y val="-0.17478692436172752"/>
                </c:manualLayout>
              </c:layout>
              <c:tx>
                <c:rich>
                  <a:bodyPr/>
                  <a:lstStyle/>
                  <a:p>
                    <a:fld id="{14DBE646-29A8-41C1-B49C-E739D47CA26F}" type="CELLRANGE">
                      <a:rPr lang="en-US" baseline="0"/>
                      <a:pPr/>
                      <a:t>[CELLRANGE]</a:t>
                    </a:fld>
                    <a:r>
                      <a:rPr lang="en-US" baseline="0"/>
                      <a:t>, </a:t>
                    </a:r>
                    <a:fld id="{E3C87835-0267-4679-BCAF-1EA941C8C1BC}"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DA87-44F7-99CA-1D084091321E}"/>
                </c:ext>
              </c:extLst>
            </c:dLbl>
            <c:dLbl>
              <c:idx val="24"/>
              <c:layout>
                <c:manualLayout>
                  <c:x val="2.6373626373626374E-2"/>
                  <c:y val="-1.513240737298548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DA87-44F7-99CA-1D084091321E}"/>
                </c:ext>
              </c:extLst>
            </c:dLbl>
            <c:dLbl>
              <c:idx val="25"/>
              <c:layout>
                <c:manualLayout>
                  <c:x val="-5.6410256410256411E-2"/>
                  <c:y val="4.539722211895645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DA87-44F7-99CA-1D084091321E}"/>
                </c:ext>
              </c:extLst>
            </c:dLbl>
            <c:dLbl>
              <c:idx val="26"/>
              <c:layout>
                <c:manualLayout>
                  <c:x val="1.7582417582417582E-2"/>
                  <c:y val="-2.0176543163980642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A-DA87-44F7-99CA-1D084091321E}"/>
                </c:ext>
              </c:extLst>
            </c:dLbl>
            <c:dLbl>
              <c:idx val="27"/>
              <c:layout>
                <c:manualLayout>
                  <c:x val="3.5897435897435895E-2"/>
                  <c:y val="9.0794444237912164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DA87-44F7-99CA-1D084091321E}"/>
                </c:ext>
              </c:extLst>
            </c:dLbl>
            <c:dLbl>
              <c:idx val="28"/>
              <c:layout>
                <c:manualLayout>
                  <c:x val="-7.4725274725274723E-2"/>
                  <c:y val="7.868851833952440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DA87-44F7-99CA-1D084091321E}"/>
                </c:ext>
              </c:extLst>
            </c:dLbl>
            <c:dLbl>
              <c:idx val="29"/>
              <c:layout>
                <c:manualLayout>
                  <c:x val="6.5934065934064858E-3"/>
                  <c:y val="3.732660485336412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DA87-44F7-99CA-1D084091321E}"/>
                </c:ext>
              </c:extLst>
            </c:dLbl>
            <c:dLbl>
              <c:idx val="30"/>
              <c:layout>
                <c:manualLayout>
                  <c:x val="-9.8168498168498194E-2"/>
                  <c:y val="2.8247160429572829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DA87-44F7-99CA-1D084091321E}"/>
                </c:ext>
              </c:extLst>
            </c:dLbl>
            <c:dLbl>
              <c:idx val="31"/>
              <c:layout>
                <c:manualLayout>
                  <c:x val="1.8315018315018316E-2"/>
                  <c:y val="0.16040351815364606"/>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DA87-44F7-99CA-1D084091321E}"/>
                </c:ext>
              </c:extLst>
            </c:dLbl>
            <c:dLbl>
              <c:idx val="32"/>
              <c:layout>
                <c:manualLayout>
                  <c:x val="1.9047619047619049E-2"/>
                  <c:y val="-6.6582592441136124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DA87-44F7-99CA-1D084091321E}"/>
                </c:ext>
              </c:extLst>
            </c:dLbl>
            <c:dLbl>
              <c:idx val="33"/>
              <c:layout>
                <c:manualLayout>
                  <c:x val="-0.10695970695970701"/>
                  <c:y val="-1.008827158199032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DA87-44F7-99CA-1D084091321E}"/>
                </c:ext>
              </c:extLst>
            </c:dLbl>
            <c:dLbl>
              <c:idx val="34"/>
              <c:layout>
                <c:manualLayout>
                  <c:x val="1.098901098901099E-2"/>
                  <c:y val="-3.026481474597096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DA87-44F7-99CA-1D084091321E}"/>
                </c:ext>
              </c:extLst>
            </c:dLbl>
            <c:dLbl>
              <c:idx val="35"/>
              <c:layout>
                <c:manualLayout>
                  <c:x val="1.9047619047618942E-2"/>
                  <c:y val="-2.824716042957290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DA87-44F7-99CA-1D084091321E}"/>
                </c:ext>
              </c:extLst>
            </c:dLbl>
            <c:dLbl>
              <c:idx val="36"/>
              <c:layout>
                <c:manualLayout>
                  <c:x val="-1.9047619047619074E-2"/>
                  <c:y val="9.886506150350515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DA87-44F7-99CA-1D084091321E}"/>
                </c:ext>
              </c:extLst>
            </c:dLbl>
            <c:dLbl>
              <c:idx val="37"/>
              <c:layout>
                <c:manualLayout>
                  <c:x val="-9.0842490842490839E-2"/>
                  <c:y val="3.228246906236899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DA87-44F7-99CA-1D084091321E}"/>
                </c:ext>
              </c:extLst>
            </c:dLbl>
            <c:dLbl>
              <c:idx val="38"/>
              <c:layout>
                <c:manualLayout>
                  <c:x val="2.7106227106227107E-2"/>
                  <c:y val="-4.0353086327962031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DA87-44F7-99CA-1D084091321E}"/>
                </c:ext>
              </c:extLst>
            </c:dLbl>
            <c:dLbl>
              <c:idx val="39"/>
              <c:layout>
                <c:manualLayout>
                  <c:x val="4.3956043956043959E-2"/>
                  <c:y val="-2.522067895497584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DA87-44F7-99CA-1D084091321E}"/>
                </c:ext>
              </c:extLst>
            </c:dLbl>
            <c:dLbl>
              <c:idx val="40"/>
              <c:layout>
                <c:manualLayout>
                  <c:x val="-8.1318681318681432E-2"/>
                  <c:y val="-7.66708640231265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DA87-44F7-99CA-1D084091321E}"/>
                </c:ext>
              </c:extLst>
            </c:dLbl>
            <c:dLbl>
              <c:idx val="41"/>
              <c:layout>
                <c:manualLayout>
                  <c:x val="-4.102564102564113E-2"/>
                  <c:y val="6.0529629491941933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DA87-44F7-99CA-1D084091321E}"/>
                </c:ext>
              </c:extLst>
            </c:dLbl>
            <c:dLbl>
              <c:idx val="42"/>
              <c:layout>
                <c:manualLayout>
                  <c:x val="3.4432234432234435E-2"/>
                  <c:y val="-5.346783938454870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DA87-44F7-99CA-1D084091321E}"/>
                </c:ext>
              </c:extLst>
            </c:dLbl>
            <c:dLbl>
              <c:idx val="43"/>
              <c:layout>
                <c:manualLayout>
                  <c:x val="-5.5677655677655681E-2"/>
                  <c:y val="-2.622950611317483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DA87-44F7-99CA-1D084091321E}"/>
                </c:ext>
              </c:extLst>
            </c:dLbl>
            <c:dLbl>
              <c:idx val="44"/>
              <c:layout>
                <c:manualLayout>
                  <c:x val="1.6117216117216119E-2"/>
                  <c:y val="-5.8511975175543872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DA87-44F7-99CA-1D084091321E}"/>
                </c:ext>
              </c:extLst>
            </c:dLbl>
            <c:dLbl>
              <c:idx val="45"/>
              <c:layout>
                <c:manualLayout>
                  <c:x val="2.2710622710622602E-2"/>
                  <c:y val="7.0617901073931882E-3"/>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DA87-44F7-99CA-1D084091321E}"/>
                </c:ext>
              </c:extLst>
            </c:dLbl>
            <c:dLbl>
              <c:idx val="47"/>
              <c:layout>
                <c:manualLayout>
                  <c:x val="5.128205128205128E-2"/>
                  <c:y val="-9.1803271396111968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E-DA87-44F7-99CA-1D084091321E}"/>
                </c:ext>
              </c:extLst>
            </c:dLbl>
            <c:dLbl>
              <c:idx val="48"/>
              <c:layout>
                <c:manualLayout>
                  <c:x val="2.6373626373626266E-2"/>
                  <c:y val="-1.4123580214786451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DA87-44F7-99CA-1D084091321E}"/>
                </c:ext>
              </c:extLst>
            </c:dLbl>
            <c:dLbl>
              <c:idx val="49"/>
              <c:layout>
                <c:manualLayout>
                  <c:x val="2.9304029304029304E-3"/>
                  <c:y val="-3.6317777695165157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DA87-44F7-99CA-1D084091321E}"/>
                </c:ext>
              </c:extLst>
            </c:dLbl>
            <c:dLbl>
              <c:idx val="50"/>
              <c:layout>
                <c:manualLayout>
                  <c:x val="-9.4505494505494503E-2"/>
                  <c:y val="9.07944442379129E-2"/>
                </c:manualLayout>
              </c:layout>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DA87-44F7-99CA-1D084091321E}"/>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PEP'!$T$16:$T$39</c:f>
              <c:numCache>
                <c:formatCode>General</c:formatCode>
                <c:ptCount val="24"/>
                <c:pt idx="0">
                  <c:v>75</c:v>
                </c:pt>
                <c:pt idx="1">
                  <c:v>57.5</c:v>
                </c:pt>
                <c:pt idx="2">
                  <c:v>40</c:v>
                </c:pt>
                <c:pt idx="3">
                  <c:v>60</c:v>
                </c:pt>
                <c:pt idx="4">
                  <c:v>45</c:v>
                </c:pt>
                <c:pt idx="5">
                  <c:v>60</c:v>
                </c:pt>
                <c:pt idx="6">
                  <c:v>55</c:v>
                </c:pt>
                <c:pt idx="7">
                  <c:v>60</c:v>
                </c:pt>
                <c:pt idx="8">
                  <c:v>50</c:v>
                </c:pt>
                <c:pt idx="9">
                  <c:v>40</c:v>
                </c:pt>
                <c:pt idx="10">
                  <c:v>60</c:v>
                </c:pt>
                <c:pt idx="11">
                  <c:v>45</c:v>
                </c:pt>
                <c:pt idx="12">
                  <c:v>50</c:v>
                </c:pt>
                <c:pt idx="13">
                  <c:v>75</c:v>
                </c:pt>
                <c:pt idx="14">
                  <c:v>30</c:v>
                </c:pt>
                <c:pt idx="15">
                  <c:v>25</c:v>
                </c:pt>
                <c:pt idx="16">
                  <c:v>30</c:v>
                </c:pt>
                <c:pt idx="17">
                  <c:v>30</c:v>
                </c:pt>
                <c:pt idx="18">
                  <c:v>40</c:v>
                </c:pt>
                <c:pt idx="19">
                  <c:v>55</c:v>
                </c:pt>
                <c:pt idx="20">
                  <c:v>60</c:v>
                </c:pt>
                <c:pt idx="21">
                  <c:v>50</c:v>
                </c:pt>
                <c:pt idx="22">
                  <c:v>60</c:v>
                </c:pt>
                <c:pt idx="23">
                  <c:v>40</c:v>
                </c:pt>
              </c:numCache>
            </c:numRef>
          </c:xVal>
          <c:yVal>
            <c:numRef>
              <c:f>'Stratified Scenario Model PEP'!$D$16:$D$39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yVal>
          <c:bubbleSize>
            <c:numRef>
              <c:f>'Stratified Scenario Model PEP'!$P$16:$P$39</c:f>
              <c:numCache>
                <c:formatCode>General</c:formatCode>
                <c:ptCount val="24"/>
                <c:pt idx="0">
                  <c:v>0.12115081512150368</c:v>
                </c:pt>
                <c:pt idx="1">
                  <c:v>0.18202938955683337</c:v>
                </c:pt>
                <c:pt idx="2">
                  <c:v>6.1197948921201915E-2</c:v>
                </c:pt>
                <c:pt idx="3">
                  <c:v>6.8387827775979279E-2</c:v>
                </c:pt>
                <c:pt idx="4">
                  <c:v>1.2825236833034197E-2</c:v>
                </c:pt>
                <c:pt idx="5">
                  <c:v>0.18405482709359761</c:v>
                </c:pt>
                <c:pt idx="6">
                  <c:v>0.1271311738127979</c:v>
                </c:pt>
                <c:pt idx="7">
                  <c:v>0.10392032880177048</c:v>
                </c:pt>
                <c:pt idx="8">
                  <c:v>4.013947760122704E-2</c:v>
                </c:pt>
                <c:pt idx="9">
                  <c:v>8.1635667961767439E-2</c:v>
                </c:pt>
                <c:pt idx="10">
                  <c:v>0.11806313583373357</c:v>
                </c:pt>
                <c:pt idx="11">
                  <c:v>2.8538586133026803E-2</c:v>
                </c:pt>
                <c:pt idx="12">
                  <c:v>5.9627660080480219E-2</c:v>
                </c:pt>
                <c:pt idx="13">
                  <c:v>0.13846348741624909</c:v>
                </c:pt>
                <c:pt idx="14">
                  <c:v>6.0386066734675684E-2</c:v>
                </c:pt>
                <c:pt idx="15">
                  <c:v>9.8743484224965705E-3</c:v>
                </c:pt>
                <c:pt idx="16">
                  <c:v>4.5893076340463315E-2</c:v>
                </c:pt>
                <c:pt idx="17">
                  <c:v>5.5637933151368044E-2</c:v>
                </c:pt>
                <c:pt idx="18">
                  <c:v>8.6748302990538442E-2</c:v>
                </c:pt>
                <c:pt idx="19">
                  <c:v>0.13825596986965866</c:v>
                </c:pt>
                <c:pt idx="20">
                  <c:v>0.10288880094974277</c:v>
                </c:pt>
                <c:pt idx="21">
                  <c:v>6.0691821186053131E-2</c:v>
                </c:pt>
                <c:pt idx="22">
                  <c:v>6.227159771963163E-2</c:v>
                </c:pt>
                <c:pt idx="23">
                  <c:v>6.5349706353443671E-2</c:v>
                </c:pt>
              </c:numCache>
            </c:numRef>
          </c:bubbleSize>
          <c:bubble3D val="0"/>
          <c:extLst>
            <c:ext xmlns:c15="http://schemas.microsoft.com/office/drawing/2012/chart" uri="{02D57815-91ED-43cb-92C2-25804820EDAC}">
              <c15:datalabelsRange>
                <c15:f>'Stratified Scenario Model PEP'!$A$16:$A$39</c15:f>
                <c15:dlblRange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15:dlblRangeCache>
              </c15:datalabelsRange>
            </c:ext>
            <c:ext xmlns:c16="http://schemas.microsoft.com/office/drawing/2014/chart" uri="{C3380CC4-5D6E-409C-BE32-E72D297353CC}">
              <c16:uniqueId val="{00000032-DA87-44F7-99CA-1D084091321E}"/>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6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baseline="0">
                <a:effectLst/>
              </a:rPr>
              <a:t>Kerry U.S. Locations,  U.S. Risk Scenario Matrix</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Test Positive Rate by State</a:t>
            </a:r>
            <a:endParaRPr lang="en-US" sz="14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050" b="0" i="0" baseline="0">
                <a:effectLst/>
              </a:rPr>
              <a:t>Data updated 2020.07.28 16:00 ET</a:t>
            </a:r>
            <a:endParaRPr lang="en-US" sz="900">
              <a:effectLst/>
            </a:endParaRPr>
          </a:p>
        </c:rich>
      </c:tx>
      <c:layout>
        <c:manualLayout>
          <c:xMode val="edge"/>
          <c:yMode val="edge"/>
          <c:x val="0.320981684981685"/>
          <c:y val="1.0088271581990322E-2"/>
        </c:manualLayout>
      </c:layout>
      <c:overlay val="1"/>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10344078324520285"/>
          <c:y val="0.13116026405790185"/>
          <c:w val="0.83554746041360217"/>
          <c:h val="0.74455495470763233"/>
        </c:manualLayout>
      </c:layout>
      <c:bubbleChart>
        <c:varyColors val="0"/>
        <c:ser>
          <c:idx val="0"/>
          <c:order val="0"/>
          <c:tx>
            <c:strRef>
              <c:f>'Stratified Scenario Model Kerry'!$P$15</c:f>
              <c:strCache>
                <c:ptCount val="1"/>
                <c:pt idx="0">
                  <c:v>Test Positive Rate Current</c:v>
                </c:pt>
              </c:strCache>
            </c:strRef>
          </c:tx>
          <c:spPr>
            <a:noFill/>
            <a:ln w="19050">
              <a:solidFill>
                <a:schemeClr val="accent1"/>
              </a:solidFill>
            </a:ln>
            <a:effectLst/>
          </c:spPr>
          <c:invertIfNegative val="0"/>
          <c:dLbls>
            <c:dLbl>
              <c:idx val="0"/>
              <c:layout>
                <c:manualLayout>
                  <c:x val="2.0527859237536548E-2"/>
                  <c:y val="5.0505050505050504E-2"/>
                </c:manualLayout>
              </c:layout>
              <c:tx>
                <c:rich>
                  <a:bodyPr/>
                  <a:lstStyle/>
                  <a:p>
                    <a:fld id="{B2A998F0-4D25-4072-BD74-F29AD56B5967}" type="CELLRANGE">
                      <a:rPr lang="en-US" baseline="0"/>
                      <a:pPr/>
                      <a:t>[CELLRANGE]</a:t>
                    </a:fld>
                    <a:r>
                      <a:rPr lang="en-US" baseline="0"/>
                      <a:t>, </a:t>
                    </a:r>
                    <a:fld id="{5D59705E-598D-4030-B156-7BA104EAB9E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0-A8C7-4C79-88F7-95F63BC03643}"/>
                </c:ext>
              </c:extLst>
            </c:dLbl>
            <c:dLbl>
              <c:idx val="1"/>
              <c:layout>
                <c:manualLayout>
                  <c:x val="4.3998660724594175E-3"/>
                  <c:y val="-0.19494313210848643"/>
                </c:manualLayout>
              </c:layout>
              <c:tx>
                <c:rich>
                  <a:bodyPr/>
                  <a:lstStyle/>
                  <a:p>
                    <a:fld id="{D513AD6E-63D0-420E-9426-EF3BB58ACFF8}" type="CELLRANGE">
                      <a:rPr lang="en-US" baseline="0"/>
                      <a:pPr/>
                      <a:t>[CELLRANGE]</a:t>
                    </a:fld>
                    <a:r>
                      <a:rPr lang="en-US" baseline="0"/>
                      <a:t>, </a:t>
                    </a:r>
                    <a:fld id="{8DEEB74A-626B-4C53-93BC-F002612B077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A8C7-4C79-88F7-95F63BC03643}"/>
                </c:ext>
              </c:extLst>
            </c:dLbl>
            <c:dLbl>
              <c:idx val="2"/>
              <c:layout>
                <c:manualLayout>
                  <c:x val="-0.1055772738818206"/>
                  <c:y val="-0.24055181738646306"/>
                </c:manualLayout>
              </c:layout>
              <c:tx>
                <c:rich>
                  <a:bodyPr/>
                  <a:lstStyle/>
                  <a:p>
                    <a:fld id="{6FD960FE-8121-4EB3-94A6-B99173C4313D}" type="CELLRANGE">
                      <a:rPr lang="en-US" baseline="0"/>
                      <a:pPr/>
                      <a:t>[CELLRANGE]</a:t>
                    </a:fld>
                    <a:r>
                      <a:rPr lang="en-US" baseline="0"/>
                      <a:t>, </a:t>
                    </a:r>
                    <a:fld id="{3825A56C-D3F3-472D-BE5F-19DFB6BB8B0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A8C7-4C79-88F7-95F63BC03643}"/>
                </c:ext>
              </c:extLst>
            </c:dLbl>
            <c:dLbl>
              <c:idx val="3"/>
              <c:layout>
                <c:manualLayout>
                  <c:x val="-1.3416422287390029E-2"/>
                  <c:y val="-0.20402513322198362"/>
                </c:manualLayout>
              </c:layout>
              <c:tx>
                <c:rich>
                  <a:bodyPr/>
                  <a:lstStyle/>
                  <a:p>
                    <a:fld id="{71486F18-DF8C-41EB-BDD2-C7E7765DA6C9}" type="CELLRANGE">
                      <a:rPr lang="en-US" baseline="0"/>
                      <a:pPr/>
                      <a:t>[CELLRANGE]</a:t>
                    </a:fld>
                    <a:r>
                      <a:rPr lang="en-US" baseline="0"/>
                      <a:t>, </a:t>
                    </a:r>
                    <a:fld id="{36A060B6-7A07-459E-8D65-2A50A213BAE2}"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3-A8C7-4C79-88F7-95F63BC03643}"/>
                </c:ext>
              </c:extLst>
            </c:dLbl>
            <c:dLbl>
              <c:idx val="4"/>
              <c:layout>
                <c:manualLayout>
                  <c:x val="-3.0791788856304986E-2"/>
                  <c:y val="-8.2787560645828359E-2"/>
                </c:manualLayout>
              </c:layout>
              <c:tx>
                <c:rich>
                  <a:bodyPr/>
                  <a:lstStyle/>
                  <a:p>
                    <a:fld id="{B789F292-23B3-498A-82FE-643D927B6F37}" type="CELLRANGE">
                      <a:rPr lang="en-US" baseline="0"/>
                      <a:pPr/>
                      <a:t>[CELLRANGE]</a:t>
                    </a:fld>
                    <a:r>
                      <a:rPr lang="en-US" baseline="0"/>
                      <a:t>, </a:t>
                    </a:r>
                    <a:fld id="{4FC41BBC-17E5-4693-A237-598B9A773A7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A8C7-4C79-88F7-95F63BC03643}"/>
                </c:ext>
              </c:extLst>
            </c:dLbl>
            <c:dLbl>
              <c:idx val="5"/>
              <c:layout>
                <c:manualLayout>
                  <c:x val="-7.7723347264876341E-2"/>
                  <c:y val="0.14345470452557066"/>
                </c:manualLayout>
              </c:layout>
              <c:tx>
                <c:rich>
                  <a:bodyPr/>
                  <a:lstStyle/>
                  <a:p>
                    <a:fld id="{0E7A84E3-36C3-44BC-BD6E-26A8B8165231}" type="CELLRANGE">
                      <a:rPr lang="en-US" baseline="0"/>
                      <a:pPr/>
                      <a:t>[CELLRANGE]</a:t>
                    </a:fld>
                    <a:r>
                      <a:rPr lang="en-US" baseline="0"/>
                      <a:t>, </a:t>
                    </a:r>
                    <a:fld id="{06493597-F2F6-498F-9F5A-C118A6904F24}"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A8C7-4C79-88F7-95F63BC03643}"/>
                </c:ext>
              </c:extLst>
            </c:dLbl>
            <c:dLbl>
              <c:idx val="6"/>
              <c:layout>
                <c:manualLayout>
                  <c:x val="-0.11438243240122854"/>
                  <c:y val="0.14136069354966993"/>
                </c:manualLayout>
              </c:layout>
              <c:tx>
                <c:rich>
                  <a:bodyPr/>
                  <a:lstStyle/>
                  <a:p>
                    <a:fld id="{2C6AEA57-9AEA-4AF2-B3C2-A1EBA17FDF2B}" type="CELLRANGE">
                      <a:rPr lang="en-US" baseline="0"/>
                      <a:pPr/>
                      <a:t>[CELLRANGE]</a:t>
                    </a:fld>
                    <a:r>
                      <a:rPr lang="en-US" baseline="0"/>
                      <a:t>, </a:t>
                    </a:r>
                    <a:fld id="{15398180-B6BA-4183-9040-360DB6A5E69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A8C7-4C79-88F7-95F63BC03643}"/>
                </c:ext>
              </c:extLst>
            </c:dLbl>
            <c:dLbl>
              <c:idx val="7"/>
              <c:layout>
                <c:manualLayout>
                  <c:x val="1.0263929618768328E-2"/>
                  <c:y val="0.10303030303030303"/>
                </c:manualLayout>
              </c:layout>
              <c:tx>
                <c:rich>
                  <a:bodyPr/>
                  <a:lstStyle/>
                  <a:p>
                    <a:fld id="{1A811B8C-9787-4EB1-90AC-60664B775FE7}" type="CELLRANGE">
                      <a:rPr lang="en-US" baseline="0"/>
                      <a:pPr/>
                      <a:t>[CELLRANGE]</a:t>
                    </a:fld>
                    <a:r>
                      <a:rPr lang="en-US" baseline="0"/>
                      <a:t>, </a:t>
                    </a:r>
                    <a:fld id="{BAE9207A-0D35-4E7D-82D0-3DB3CE1824E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A8C7-4C79-88F7-95F63BC03643}"/>
                </c:ext>
              </c:extLst>
            </c:dLbl>
            <c:dLbl>
              <c:idx val="8"/>
              <c:layout>
                <c:manualLayout>
                  <c:x val="-6.3087491629528716E-2"/>
                  <c:y val="0.17366865505448167"/>
                </c:manualLayout>
              </c:layout>
              <c:tx>
                <c:rich>
                  <a:bodyPr/>
                  <a:lstStyle/>
                  <a:p>
                    <a:fld id="{5F7885FD-7F14-49CD-A7D7-AB406A7B3124}" type="CELLRANGE">
                      <a:rPr lang="en-US" baseline="0"/>
                      <a:pPr/>
                      <a:t>[CELLRANGE]</a:t>
                    </a:fld>
                    <a:r>
                      <a:rPr lang="en-US" baseline="0"/>
                      <a:t>, </a:t>
                    </a:r>
                    <a:fld id="{475B8A82-7A2C-439F-9C3E-87DEE770CF0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A8C7-4C79-88F7-95F63BC03643}"/>
                </c:ext>
              </c:extLst>
            </c:dLbl>
            <c:dLbl>
              <c:idx val="9"/>
              <c:layout>
                <c:manualLayout>
                  <c:x val="-9.0147435749417013E-2"/>
                  <c:y val="-6.9545375009941943E-2"/>
                </c:manualLayout>
              </c:layout>
              <c:tx>
                <c:rich>
                  <a:bodyPr/>
                  <a:lstStyle/>
                  <a:p>
                    <a:fld id="{3EAA1509-0D24-4F04-BDF6-CDE9C4CFDCE0}" type="CELLRANGE">
                      <a:rPr lang="en-US" baseline="0"/>
                      <a:pPr/>
                      <a:t>[CELLRANGE]</a:t>
                    </a:fld>
                    <a:r>
                      <a:rPr lang="en-US" baseline="0"/>
                      <a:t>, </a:t>
                    </a:r>
                    <a:fld id="{70B58F96-E0F4-48EF-A356-E237F7CFAB5D}"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A8C7-4C79-88F7-95F63BC03643}"/>
                </c:ext>
              </c:extLst>
            </c:dLbl>
            <c:dLbl>
              <c:idx val="10"/>
              <c:layout>
                <c:manualLayout>
                  <c:x val="-0.1495880573579329"/>
                  <c:y val="-1.0029746281714786E-2"/>
                </c:manualLayout>
              </c:layout>
              <c:tx>
                <c:rich>
                  <a:bodyPr/>
                  <a:lstStyle/>
                  <a:p>
                    <a:fld id="{230A641E-FA55-4C13-834F-E6958D425563}" type="CELLRANGE">
                      <a:rPr lang="en-US" baseline="0"/>
                      <a:pPr/>
                      <a:t>[CELLRANGE]</a:t>
                    </a:fld>
                    <a:r>
                      <a:rPr lang="en-US" baseline="0"/>
                      <a:t>, </a:t>
                    </a:r>
                    <a:fld id="{AA45326F-6048-4020-AF7B-9EEC45A6EA91}"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A8C7-4C79-88F7-95F63BC03643}"/>
                </c:ext>
              </c:extLst>
            </c:dLbl>
            <c:dLbl>
              <c:idx val="11"/>
              <c:layout>
                <c:manualLayout>
                  <c:x val="-0.16128708984690696"/>
                  <c:y val="2.4306052652509347E-2"/>
                </c:manualLayout>
              </c:layout>
              <c:tx>
                <c:rich>
                  <a:bodyPr/>
                  <a:lstStyle/>
                  <a:p>
                    <a:endParaRPr lang="en-US" baseline="0"/>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B-A8C7-4C79-88F7-95F63BC03643}"/>
                </c:ext>
              </c:extLst>
            </c:dLbl>
            <c:dLbl>
              <c:idx val="12"/>
              <c:layout>
                <c:manualLayout>
                  <c:x val="1.0262890525780943E-2"/>
                  <c:y val="0.10703762029746267"/>
                </c:manualLayout>
              </c:layout>
              <c:tx>
                <c:rich>
                  <a:bodyPr/>
                  <a:lstStyle/>
                  <a:p>
                    <a:fld id="{52DD8C97-5D13-4663-AF7D-40281710B831}" type="CELLRANGE">
                      <a:rPr lang="en-US" baseline="0"/>
                      <a:pPr/>
                      <a:t>[CELLRANGE]</a:t>
                    </a:fld>
                    <a:r>
                      <a:rPr lang="en-US" baseline="0"/>
                      <a:t>, </a:t>
                    </a:r>
                    <a:fld id="{BB77DF38-715D-45CB-AE03-DD940C80AE5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A8C7-4C79-88F7-95F63BC03643}"/>
                </c:ext>
              </c:extLst>
            </c:dLbl>
            <c:dLbl>
              <c:idx val="13"/>
              <c:layout>
                <c:manualLayout>
                  <c:x val="-1.4656291130764188E-2"/>
                  <c:y val="-6.7731488109440866E-2"/>
                </c:manualLayout>
              </c:layout>
              <c:tx>
                <c:rich>
                  <a:bodyPr/>
                  <a:lstStyle/>
                  <a:p>
                    <a:fld id="{232110E2-A08A-4103-BF5A-C5C7B975F0E2}" type="CELLRANGE">
                      <a:rPr lang="en-US" baseline="0"/>
                      <a:pPr/>
                      <a:t>[CELLRANGE]</a:t>
                    </a:fld>
                    <a:r>
                      <a:rPr lang="en-US" baseline="0"/>
                      <a:t>, </a:t>
                    </a:r>
                    <a:fld id="{CEA9597D-5E8E-45CE-8FAA-FAFCB7F9CABA}"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A8C7-4C79-88F7-95F63BC03643}"/>
                </c:ext>
              </c:extLst>
            </c:dLbl>
            <c:dLbl>
              <c:idx val="14"/>
              <c:layout>
                <c:manualLayout>
                  <c:x val="-0.13858717990163255"/>
                  <c:y val="-2.526906863914738E-2"/>
                </c:manualLayout>
              </c:layout>
              <c:tx>
                <c:rich>
                  <a:bodyPr/>
                  <a:lstStyle/>
                  <a:p>
                    <a:fld id="{93600AD2-D079-44B4-926E-B21E48C71A34}" type="CELLRANGE">
                      <a:rPr lang="en-US" baseline="0"/>
                      <a:pPr/>
                      <a:t>[CELLRANGE]</a:t>
                    </a:fld>
                    <a:r>
                      <a:rPr lang="en-US" baseline="0"/>
                      <a:t>, </a:t>
                    </a:r>
                    <a:fld id="{AC9E447D-1B74-4CC0-A7E6-2946AB3ECFD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A8C7-4C79-88F7-95F63BC03643}"/>
                </c:ext>
              </c:extLst>
            </c:dLbl>
            <c:dLbl>
              <c:idx val="15"/>
              <c:layout>
                <c:manualLayout>
                  <c:x val="-0.16715438612695407"/>
                  <c:y val="-9.4964765767915377E-2"/>
                </c:manualLayout>
              </c:layout>
              <c:tx>
                <c:rich>
                  <a:bodyPr/>
                  <a:lstStyle/>
                  <a:p>
                    <a:fld id="{CB1FEF87-5AF5-45C8-B819-A96AA204ABE2}" type="CELLRANGE">
                      <a:rPr lang="en-US" baseline="0"/>
                      <a:pPr/>
                      <a:t>[CELLRANGE]</a:t>
                    </a:fld>
                    <a:r>
                      <a:rPr lang="en-US" baseline="0"/>
                      <a:t>, </a:t>
                    </a:r>
                    <a:fld id="{A5277AC3-B361-42A5-AB22-DC23264EDD2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A8C7-4C79-88F7-95F63BC03643}"/>
                </c:ext>
              </c:extLst>
            </c:dLbl>
            <c:dLbl>
              <c:idx val="16"/>
              <c:layout>
                <c:manualLayout>
                  <c:x val="-0.17295287136028817"/>
                  <c:y val="5.852477531217689E-2"/>
                </c:manualLayout>
              </c:layout>
              <c:tx>
                <c:rich>
                  <a:bodyPr/>
                  <a:lstStyle/>
                  <a:p>
                    <a:fld id="{93B77939-C9E2-4BD4-AD12-E4F4F3A9618D}" type="CELLRANGE">
                      <a:rPr lang="en-US" baseline="0"/>
                      <a:pPr/>
                      <a:t>[CELLRANGE]</a:t>
                    </a:fld>
                    <a:r>
                      <a:rPr lang="en-US" baseline="0"/>
                      <a:t>, </a:t>
                    </a:r>
                    <a:fld id="{8751618E-8859-49B8-8ECE-A84E43D6AFE3}"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A8C7-4C79-88F7-95F63BC03643}"/>
                </c:ext>
              </c:extLst>
            </c:dLbl>
            <c:dLbl>
              <c:idx val="17"/>
              <c:layout>
                <c:manualLayout>
                  <c:x val="1.4415683376821299E-3"/>
                  <c:y val="4.4375725761552388E-2"/>
                </c:manualLayout>
              </c:layout>
              <c:tx>
                <c:rich>
                  <a:bodyPr/>
                  <a:lstStyle/>
                  <a:p>
                    <a:fld id="{37E0C262-7DA7-43A0-91EB-243D22A8A9EB}" type="CELLRANGE">
                      <a:rPr lang="en-US" baseline="0"/>
                      <a:pPr/>
                      <a:t>[CELLRANGE]</a:t>
                    </a:fld>
                    <a:r>
                      <a:rPr lang="en-US" baseline="0"/>
                      <a:t>, </a:t>
                    </a:r>
                    <a:fld id="{1CED7D95-90FF-4CA7-B3D9-536B0190E455}"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A8C7-4C79-88F7-95F63BC03643}"/>
                </c:ext>
              </c:extLst>
            </c:dLbl>
            <c:dLbl>
              <c:idx val="18"/>
              <c:layout>
                <c:manualLayout>
                  <c:x val="-9.3852379522940815E-2"/>
                  <c:y val="-9.9884037222619904E-2"/>
                </c:manualLayout>
              </c:layout>
              <c:tx>
                <c:rich>
                  <a:bodyPr/>
                  <a:lstStyle/>
                  <a:p>
                    <a:fld id="{75D5257C-01B2-4A28-864B-886D9FE899F1}" type="CELLRANGE">
                      <a:rPr lang="en-US" baseline="0"/>
                      <a:pPr/>
                      <a:t>[CELLRANGE]</a:t>
                    </a:fld>
                    <a:r>
                      <a:rPr lang="en-US" baseline="0"/>
                      <a:t>, </a:t>
                    </a:r>
                    <a:fld id="{7025D763-253D-4DB8-BF4F-E0F5B8B534C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A8C7-4C79-88F7-95F63BC03643}"/>
                </c:ext>
              </c:extLst>
            </c:dLbl>
            <c:dLbl>
              <c:idx val="19"/>
              <c:layout>
                <c:manualLayout>
                  <c:x val="-0.222862123906066"/>
                  <c:y val="-0.24034550226676218"/>
                </c:manualLayout>
              </c:layout>
              <c:tx>
                <c:rich>
                  <a:bodyPr/>
                  <a:lstStyle/>
                  <a:p>
                    <a:fld id="{5C7DA420-3FC4-4FED-9FA1-5CCB90BF351C}" type="CELLRANGE">
                      <a:rPr lang="en-US" baseline="0"/>
                      <a:pPr/>
                      <a:t>[CELLRANGE]</a:t>
                    </a:fld>
                    <a:r>
                      <a:rPr lang="en-US" baseline="0"/>
                      <a:t>, </a:t>
                    </a:r>
                    <a:fld id="{7834BE4D-C95C-43D6-9EF3-2317046B875F}"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A8C7-4C79-88F7-95F63BC03643}"/>
                </c:ext>
              </c:extLst>
            </c:dLbl>
            <c:dLbl>
              <c:idx val="20"/>
              <c:layout>
                <c:manualLayout>
                  <c:x val="-7.8373242201029855E-2"/>
                  <c:y val="-0.17565815636681778"/>
                </c:manualLayout>
              </c:layout>
              <c:tx>
                <c:rich>
                  <a:bodyPr/>
                  <a:lstStyle/>
                  <a:p>
                    <a:fld id="{76266260-90B9-4127-B74A-3C6489867499}" type="CELLRANGE">
                      <a:rPr lang="en-US" baseline="0"/>
                      <a:pPr/>
                      <a:t>[CELLRANGE]</a:t>
                    </a:fld>
                    <a:r>
                      <a:rPr lang="en-US" baseline="0"/>
                      <a:t>, </a:t>
                    </a:r>
                    <a:fld id="{9B1392B6-BB92-4084-B0FD-6681C47D495B}"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A8C7-4C79-88F7-95F63BC03643}"/>
                </c:ext>
              </c:extLst>
            </c:dLbl>
            <c:dLbl>
              <c:idx val="21"/>
              <c:layout>
                <c:manualLayout>
                  <c:x val="0.19647239476297135"/>
                  <c:y val="-0.25247434979718442"/>
                </c:manualLayout>
              </c:layout>
              <c:tx>
                <c:rich>
                  <a:bodyPr/>
                  <a:lstStyle/>
                  <a:p>
                    <a:fld id="{660056E3-B8FD-4DFC-88D9-2E0AA2782821}" type="CELLRANGE">
                      <a:rPr lang="en-US" baseline="0"/>
                      <a:pPr/>
                      <a:t>[CELLRANGE]</a:t>
                    </a:fld>
                    <a:r>
                      <a:rPr lang="en-US" baseline="0"/>
                      <a:t>, </a:t>
                    </a:r>
                    <a:fld id="{E1F50EFD-5717-4D64-BD99-054C7267D290}" type="BUBBLESIZE">
                      <a:rPr lang="en-US" baseline="0"/>
                      <a:pPr/>
                      <a:t>[BUBBLE SIZE]</a:t>
                    </a:fld>
                    <a:endParaRPr lang="en-US" baseline="0"/>
                  </a:p>
                </c:rich>
              </c:tx>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A8C7-4C79-88F7-95F63BC03643}"/>
                </c:ext>
              </c:extLst>
            </c:dLbl>
            <c:dLbl>
              <c:idx val="22"/>
              <c:layout>
                <c:manualLayout>
                  <c:x val="-8.8644688644688649E-2"/>
                  <c:y val="-7.061790107393226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6-A8C7-4C79-88F7-95F63BC03643}"/>
                </c:ext>
              </c:extLst>
            </c:dLbl>
            <c:dLbl>
              <c:idx val="23"/>
              <c:layout>
                <c:manualLayout>
                  <c:x val="4.2490842490842382E-2"/>
                  <c:y val="3.127364190417000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A8C7-4C79-88F7-95F63BC03643}"/>
                </c:ext>
              </c:extLst>
            </c:dLbl>
            <c:dLbl>
              <c:idx val="24"/>
              <c:layout>
                <c:manualLayout>
                  <c:x val="2.6373626373626374E-2"/>
                  <c:y val="-1.513240737298548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A8C7-4C79-88F7-95F63BC03643}"/>
                </c:ext>
              </c:extLst>
            </c:dLbl>
            <c:dLbl>
              <c:idx val="25"/>
              <c:layout>
                <c:manualLayout>
                  <c:x val="-5.6410256410256411E-2"/>
                  <c:y val="4.539722211895645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A8C7-4C79-88F7-95F63BC03643}"/>
                </c:ext>
              </c:extLst>
            </c:dLbl>
            <c:dLbl>
              <c:idx val="26"/>
              <c:layout>
                <c:manualLayout>
                  <c:x val="1.7582417582417582E-2"/>
                  <c:y val="-2.0176543163980642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A-A8C7-4C79-88F7-95F63BC03643}"/>
                </c:ext>
              </c:extLst>
            </c:dLbl>
            <c:dLbl>
              <c:idx val="27"/>
              <c:layout>
                <c:manualLayout>
                  <c:x val="3.5897435897435895E-2"/>
                  <c:y val="9.0794444237912164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A8C7-4C79-88F7-95F63BC03643}"/>
                </c:ext>
              </c:extLst>
            </c:dLbl>
            <c:dLbl>
              <c:idx val="28"/>
              <c:layout>
                <c:manualLayout>
                  <c:x val="-7.4725274725274723E-2"/>
                  <c:y val="7.868851833952440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A8C7-4C79-88F7-95F63BC03643}"/>
                </c:ext>
              </c:extLst>
            </c:dLbl>
            <c:dLbl>
              <c:idx val="29"/>
              <c:layout>
                <c:manualLayout>
                  <c:x val="6.5934065934064858E-3"/>
                  <c:y val="3.73266048533641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A8C7-4C79-88F7-95F63BC03643}"/>
                </c:ext>
              </c:extLst>
            </c:dLbl>
            <c:dLbl>
              <c:idx val="30"/>
              <c:layout>
                <c:manualLayout>
                  <c:x val="-9.8168498168498194E-2"/>
                  <c:y val="2.8247160429572829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A8C7-4C79-88F7-95F63BC03643}"/>
                </c:ext>
              </c:extLst>
            </c:dLbl>
            <c:dLbl>
              <c:idx val="31"/>
              <c:layout>
                <c:manualLayout>
                  <c:x val="1.8315018315018316E-2"/>
                  <c:y val="0.16040351815364606"/>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A8C7-4C79-88F7-95F63BC03643}"/>
                </c:ext>
              </c:extLst>
            </c:dLbl>
            <c:dLbl>
              <c:idx val="32"/>
              <c:layout>
                <c:manualLayout>
                  <c:x val="1.9047619047619049E-2"/>
                  <c:y val="-6.6582592441136124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A8C7-4C79-88F7-95F63BC03643}"/>
                </c:ext>
              </c:extLst>
            </c:dLbl>
            <c:dLbl>
              <c:idx val="33"/>
              <c:layout>
                <c:manualLayout>
                  <c:x val="-0.10695970695970701"/>
                  <c:y val="-1.008827158199032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A8C7-4C79-88F7-95F63BC03643}"/>
                </c:ext>
              </c:extLst>
            </c:dLbl>
            <c:dLbl>
              <c:idx val="34"/>
              <c:layout>
                <c:manualLayout>
                  <c:x val="1.098901098901099E-2"/>
                  <c:y val="-3.026481474597096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A8C7-4C79-88F7-95F63BC03643}"/>
                </c:ext>
              </c:extLst>
            </c:dLbl>
            <c:dLbl>
              <c:idx val="35"/>
              <c:layout>
                <c:manualLayout>
                  <c:x val="1.9047619047618942E-2"/>
                  <c:y val="-2.824716042957290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A8C7-4C79-88F7-95F63BC03643}"/>
                </c:ext>
              </c:extLst>
            </c:dLbl>
            <c:dLbl>
              <c:idx val="36"/>
              <c:layout>
                <c:manualLayout>
                  <c:x val="-1.9047619047619074E-2"/>
                  <c:y val="9.886506150350515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A8C7-4C79-88F7-95F63BC03643}"/>
                </c:ext>
              </c:extLst>
            </c:dLbl>
            <c:dLbl>
              <c:idx val="37"/>
              <c:layout>
                <c:manualLayout>
                  <c:x val="-9.0842490842490839E-2"/>
                  <c:y val="3.228246906236899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A8C7-4C79-88F7-95F63BC03643}"/>
                </c:ext>
              </c:extLst>
            </c:dLbl>
            <c:dLbl>
              <c:idx val="38"/>
              <c:layout>
                <c:manualLayout>
                  <c:x val="2.7106227106227107E-2"/>
                  <c:y val="-4.0353086327962031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A8C7-4C79-88F7-95F63BC03643}"/>
                </c:ext>
              </c:extLst>
            </c:dLbl>
            <c:dLbl>
              <c:idx val="39"/>
              <c:layout>
                <c:manualLayout>
                  <c:x val="4.3956043956043959E-2"/>
                  <c:y val="-2.522067895497584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A8C7-4C79-88F7-95F63BC03643}"/>
                </c:ext>
              </c:extLst>
            </c:dLbl>
            <c:dLbl>
              <c:idx val="40"/>
              <c:layout>
                <c:manualLayout>
                  <c:x val="-8.1318681318681432E-2"/>
                  <c:y val="-7.66708640231265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A8C7-4C79-88F7-95F63BC03643}"/>
                </c:ext>
              </c:extLst>
            </c:dLbl>
            <c:dLbl>
              <c:idx val="41"/>
              <c:layout>
                <c:manualLayout>
                  <c:x val="-4.102564102564113E-2"/>
                  <c:y val="6.0529629491941933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9-A8C7-4C79-88F7-95F63BC03643}"/>
                </c:ext>
              </c:extLst>
            </c:dLbl>
            <c:dLbl>
              <c:idx val="42"/>
              <c:layout>
                <c:manualLayout>
                  <c:x val="3.4432234432234435E-2"/>
                  <c:y val="-5.346783938454870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A8C7-4C79-88F7-95F63BC03643}"/>
                </c:ext>
              </c:extLst>
            </c:dLbl>
            <c:dLbl>
              <c:idx val="43"/>
              <c:layout>
                <c:manualLayout>
                  <c:x val="-5.5677655677655681E-2"/>
                  <c:y val="-2.622950611317483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A8C7-4C79-88F7-95F63BC03643}"/>
                </c:ext>
              </c:extLst>
            </c:dLbl>
            <c:dLbl>
              <c:idx val="44"/>
              <c:layout>
                <c:manualLayout>
                  <c:x val="1.6117216117216119E-2"/>
                  <c:y val="-5.8511975175543872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A8C7-4C79-88F7-95F63BC03643}"/>
                </c:ext>
              </c:extLst>
            </c:dLbl>
            <c:dLbl>
              <c:idx val="45"/>
              <c:layout>
                <c:manualLayout>
                  <c:x val="2.2710622710622602E-2"/>
                  <c:y val="7.0617901073931882E-3"/>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A8C7-4C79-88F7-95F63BC03643}"/>
                </c:ext>
              </c:extLst>
            </c:dLbl>
            <c:dLbl>
              <c:idx val="46"/>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00-0730-4B65-827A-36EC5C877BA1}"/>
                </c:ext>
              </c:extLst>
            </c:dLbl>
            <c:dLbl>
              <c:idx val="47"/>
              <c:layout>
                <c:manualLayout>
                  <c:x val="5.128205128205128E-2"/>
                  <c:y val="-9.1803271396111968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E-A8C7-4C79-88F7-95F63BC03643}"/>
                </c:ext>
              </c:extLst>
            </c:dLbl>
            <c:dLbl>
              <c:idx val="48"/>
              <c:layout>
                <c:manualLayout>
                  <c:x val="2.6373626373626266E-2"/>
                  <c:y val="-1.4123580214786451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A8C7-4C79-88F7-95F63BC03643}"/>
                </c:ext>
              </c:extLst>
            </c:dLbl>
            <c:dLbl>
              <c:idx val="49"/>
              <c:layout>
                <c:manualLayout>
                  <c:x val="2.9304029304029304E-3"/>
                  <c:y val="-3.6317777695165157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A8C7-4C79-88F7-95F63BC03643}"/>
                </c:ext>
              </c:extLst>
            </c:dLbl>
            <c:dLbl>
              <c:idx val="50"/>
              <c:layout>
                <c:manualLayout>
                  <c:x val="-9.4505494505494503E-2"/>
                  <c:y val="9.07944442379129E-2"/>
                </c:manualLayout>
              </c:layout>
              <c:tx>
                <c:rich>
                  <a:bodyPr/>
                  <a:lstStyle/>
                  <a:p>
                    <a:endParaRPr lang="en-US"/>
                  </a:p>
                </c:rich>
              </c:tx>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A8C7-4C79-88F7-95F63BC03643}"/>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 Kerry'!$T$16:$T$66</c:f>
              <c:numCache>
                <c:formatCode>0</c:formatCode>
                <c:ptCount val="51"/>
                <c:pt idx="0">
                  <c:v>80</c:v>
                </c:pt>
                <c:pt idx="1">
                  <c:v>75</c:v>
                </c:pt>
                <c:pt idx="2">
                  <c:v>40</c:v>
                </c:pt>
                <c:pt idx="3">
                  <c:v>60</c:v>
                </c:pt>
                <c:pt idx="4">
                  <c:v>55</c:v>
                </c:pt>
                <c:pt idx="5">
                  <c:v>60</c:v>
                </c:pt>
                <c:pt idx="6">
                  <c:v>50</c:v>
                </c:pt>
                <c:pt idx="7">
                  <c:v>40</c:v>
                </c:pt>
                <c:pt idx="8">
                  <c:v>60</c:v>
                </c:pt>
                <c:pt idx="9">
                  <c:v>50</c:v>
                </c:pt>
                <c:pt idx="10">
                  <c:v>25</c:v>
                </c:pt>
                <c:pt idx="11">
                  <c:v>#N/A</c:v>
                </c:pt>
                <c:pt idx="12">
                  <c:v>75</c:v>
                </c:pt>
                <c:pt idx="13">
                  <c:v>85</c:v>
                </c:pt>
                <c:pt idx="14">
                  <c:v>25</c:v>
                </c:pt>
                <c:pt idx="15">
                  <c:v>25</c:v>
                </c:pt>
                <c:pt idx="16">
                  <c:v>30</c:v>
                </c:pt>
                <c:pt idx="17">
                  <c:v>40</c:v>
                </c:pt>
                <c:pt idx="18">
                  <c:v>55</c:v>
                </c:pt>
                <c:pt idx="19">
                  <c:v>50</c:v>
                </c:pt>
                <c:pt idx="20">
                  <c:v>60</c:v>
                </c:pt>
                <c:pt idx="21">
                  <c:v>40</c:v>
                </c:pt>
              </c:numCache>
            </c:numRef>
          </c:xVal>
          <c:yVal>
            <c:numRef>
              <c:f>'Stratified Scenario Model Kerry'!$D$16:$D$66</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4" formatCode="#,##0">
                  <c:v>0</c:v>
                </c:pt>
              </c:numCache>
            </c:numRef>
          </c:yVal>
          <c:bubbleSize>
            <c:numRef>
              <c:f>'Stratified Scenario Model Kerry'!$P$16:$P$66</c:f>
              <c:numCache>
                <c:formatCode>0</c:formatCode>
                <c:ptCount val="51"/>
                <c:pt idx="0">
                  <c:v>0.20584040504884832</c:v>
                </c:pt>
                <c:pt idx="1">
                  <c:v>0.12115081512150368</c:v>
                </c:pt>
                <c:pt idx="2">
                  <c:v>6.1197948921201915E-2</c:v>
                </c:pt>
                <c:pt idx="3">
                  <c:v>0.18405482709359761</c:v>
                </c:pt>
                <c:pt idx="4">
                  <c:v>0.1271311738127979</c:v>
                </c:pt>
                <c:pt idx="5">
                  <c:v>0.10392032880177048</c:v>
                </c:pt>
                <c:pt idx="6">
                  <c:v>4.013947760122704E-2</c:v>
                </c:pt>
                <c:pt idx="7">
                  <c:v>8.1635667961767439E-2</c:v>
                </c:pt>
                <c:pt idx="8">
                  <c:v>0.11806313583373357</c:v>
                </c:pt>
                <c:pt idx="9">
                  <c:v>5.9627660080480219E-2</c:v>
                </c:pt>
                <c:pt idx="10">
                  <c:v>8.2614942528735635E-3</c:v>
                </c:pt>
                <c:pt idx="11">
                  <c:v>-4.818581471201961E-2</c:v>
                </c:pt>
                <c:pt idx="12">
                  <c:v>0.13846348741624909</c:v>
                </c:pt>
                <c:pt idx="13">
                  <c:v>0.23257403189066059</c:v>
                </c:pt>
                <c:pt idx="14">
                  <c:v>1.5503018164314288E-2</c:v>
                </c:pt>
                <c:pt idx="15">
                  <c:v>9.8743484224965705E-3</c:v>
                </c:pt>
                <c:pt idx="16">
                  <c:v>4.5893076340463315E-2</c:v>
                </c:pt>
                <c:pt idx="17">
                  <c:v>8.6748302990538442E-2</c:v>
                </c:pt>
                <c:pt idx="18">
                  <c:v>0.13825596986965866</c:v>
                </c:pt>
                <c:pt idx="19">
                  <c:v>6.0691821186053131E-2</c:v>
                </c:pt>
                <c:pt idx="20">
                  <c:v>6.227159771963163E-2</c:v>
                </c:pt>
                <c:pt idx="21">
                  <c:v>6.5349706353443671E-2</c:v>
                </c:pt>
              </c:numCache>
            </c:numRef>
          </c:bubbleSize>
          <c:bubble3D val="0"/>
          <c:extLst>
            <c:ext xmlns:c15="http://schemas.microsoft.com/office/drawing/2012/chart" uri="{02D57815-91ED-43cb-92C2-25804820EDAC}">
              <c15:datalabelsRange>
                <c15:f>'Stratified Scenario Model Kerry'!$A$16:$A$37</c15:f>
                <c15:dlblRange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15:dlblRangeCache>
              </c15:datalabelsRange>
            </c:ext>
            <c:ext xmlns:c16="http://schemas.microsoft.com/office/drawing/2014/chart" uri="{C3380CC4-5D6E-409C-BE32-E72D297353CC}">
              <c16:uniqueId val="{00000032-A8C7-4C79-88F7-95F63BC03643}"/>
            </c:ext>
          </c:extLst>
        </c:ser>
        <c:dLbls>
          <c:showLegendKey val="0"/>
          <c:showVal val="0"/>
          <c:showCatName val="0"/>
          <c:showSerName val="0"/>
          <c:showPercent val="0"/>
          <c:showBubbleSize val="0"/>
        </c:dLbls>
        <c:bubbleScale val="25"/>
        <c:showNegBubbles val="0"/>
        <c:axId val="590179784"/>
        <c:axId val="590186344"/>
      </c:bubbleChart>
      <c:valAx>
        <c:axId val="590179784"/>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6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19431859479103572"/>
          <c:y val="0.87295069075269305"/>
          <c:w val="0.22619434109197889"/>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kern="1200" spc="0" baseline="0">
                <a:solidFill>
                  <a:srgbClr val="595959"/>
                </a:solidFill>
                <a:effectLst/>
              </a:rPr>
              <a:t> US 50 State Risk Scenario Matrix</a:t>
            </a:r>
          </a:p>
          <a:p>
            <a:pPr>
              <a:defRPr/>
            </a:pPr>
            <a:r>
              <a:rPr lang="en-US" sz="1200" b="0" i="0" kern="1200" spc="0" baseline="0">
                <a:solidFill>
                  <a:srgbClr val="595959"/>
                </a:solidFill>
                <a:effectLst/>
              </a:rPr>
              <a:t>Cumulative Death Rate by State per 100K Population</a:t>
            </a:r>
            <a:endParaRPr lang="en-US" sz="1200">
              <a:effectLst/>
            </a:endParaRPr>
          </a:p>
          <a:p>
            <a:pPr>
              <a:defRPr/>
            </a:pPr>
            <a:r>
              <a:rPr lang="en-US" sz="1050" b="0" i="0" kern="1200" spc="0" baseline="0">
                <a:solidFill>
                  <a:srgbClr val="595959"/>
                </a:solidFill>
                <a:effectLst/>
              </a:rPr>
              <a:t>Data updated 2020.07.28 16:00 ET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615765128830725"/>
          <c:y val="0.20177037943072651"/>
          <c:w val="0.83554746041360217"/>
          <c:h val="0.66586643636810794"/>
        </c:manualLayout>
      </c:layout>
      <c:bubbleChart>
        <c:varyColors val="0"/>
        <c:ser>
          <c:idx val="0"/>
          <c:order val="0"/>
          <c:tx>
            <c:v>Cumulative Death Rate per 100K</c:v>
          </c:tx>
          <c:spPr>
            <a:noFill/>
            <a:ln>
              <a:solidFill>
                <a:schemeClr val="tx1"/>
              </a:solidFill>
            </a:ln>
            <a:effectLst/>
          </c:spPr>
          <c:invertIfNegative val="0"/>
          <c:dLbls>
            <c:dLbl>
              <c:idx val="0"/>
              <c:layout>
                <c:manualLayout>
                  <c:x val="-7.257529758604124E-2"/>
                  <c:y val="-0.10922330097087378"/>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0-B006-48CF-8B8E-166A36BABEF1}"/>
                </c:ext>
              </c:extLst>
            </c:dLbl>
            <c:dLbl>
              <c:idx val="1"/>
              <c:layout>
                <c:manualLayout>
                  <c:x val="-6.9072076817863629E-3"/>
                  <c:y val="-6.472491909385112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1-B006-48CF-8B8E-166A36BABEF1}"/>
                </c:ext>
              </c:extLst>
            </c:dLbl>
            <c:dLbl>
              <c:idx val="2"/>
              <c:layout>
                <c:manualLayout>
                  <c:x val="-6.4939720343055812E-2"/>
                  <c:y val="0.12649835639477106"/>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2-B006-48CF-8B8E-166A36BABEF1}"/>
                </c:ext>
              </c:extLst>
            </c:dLbl>
            <c:dLbl>
              <c:idx val="3"/>
              <c:layout>
                <c:manualLayout>
                  <c:x val="-6.9885355439724961E-3"/>
                  <c:y val="-3.8430420711974181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3-B006-48CF-8B8E-166A36BABEF1}"/>
                </c:ext>
              </c:extLst>
            </c:dLbl>
            <c:dLbl>
              <c:idx val="4"/>
              <c:layout>
                <c:manualLayout>
                  <c:x val="-7.6423815200916789E-2"/>
                  <c:y val="-7.798460872002657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4-B006-48CF-8B8E-166A36BABEF1}"/>
                </c:ext>
              </c:extLst>
            </c:dLbl>
            <c:dLbl>
              <c:idx val="5"/>
              <c:layout>
                <c:manualLayout>
                  <c:x val="1.5162794351410299E-2"/>
                  <c:y val="0.20810829319878704"/>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5-B006-48CF-8B8E-166A36BABEF1}"/>
                </c:ext>
              </c:extLst>
            </c:dLbl>
            <c:dLbl>
              <c:idx val="6"/>
              <c:layout>
                <c:manualLayout>
                  <c:x val="-0.130715535007948"/>
                  <c:y val="8.090622849935019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layout>
                    <c:manualLayout>
                      <c:w val="4.6726659167604039E-2"/>
                      <c:h val="3.1553809887395826E-2"/>
                    </c:manualLayout>
                  </c15:layout>
                  <c15:showDataLabelsRange val="1"/>
                </c:ext>
                <c:ext xmlns:c16="http://schemas.microsoft.com/office/drawing/2014/chart" uri="{C3380CC4-5D6E-409C-BE32-E72D297353CC}">
                  <c16:uniqueId val="{00000006-B006-48CF-8B8E-166A36BABEF1}"/>
                </c:ext>
              </c:extLst>
            </c:dLbl>
            <c:dLbl>
              <c:idx val="7"/>
              <c:layout>
                <c:manualLayout>
                  <c:x val="-9.0175039739750898E-2"/>
                  <c:y val="-7.2725549779578486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7-B006-48CF-8B8E-166A36BABEF1}"/>
                </c:ext>
              </c:extLst>
            </c:dLbl>
            <c:dLbl>
              <c:idx val="8"/>
              <c:layout>
                <c:manualLayout>
                  <c:x val="-0.17388647572899546"/>
                  <c:y val="1.8158888847582579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8-B006-48CF-8B8E-166A36BABEF1}"/>
                </c:ext>
              </c:extLst>
            </c:dLbl>
            <c:dLbl>
              <c:idx val="9"/>
              <c:layout>
                <c:manualLayout>
                  <c:x val="1.7095139736054119E-2"/>
                  <c:y val="-9.708737864077676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9-B006-48CF-8B8E-166A36BABEF1}"/>
                </c:ext>
              </c:extLst>
            </c:dLbl>
            <c:dLbl>
              <c:idx val="10"/>
              <c:layout>
                <c:manualLayout>
                  <c:x val="-2.0828250341946693E-2"/>
                  <c:y val="-5.0656327243075269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A-B006-48CF-8B8E-166A36BABEF1}"/>
                </c:ext>
              </c:extLst>
            </c:dLbl>
            <c:dLbl>
              <c:idx val="11"/>
              <c:layout>
                <c:manualLayout>
                  <c:x val="-5.8783524638645522E-2"/>
                  <c:y val="-5.8641987105980682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B-B006-48CF-8B8E-166A36BABEF1}"/>
                </c:ext>
              </c:extLst>
            </c:dLbl>
            <c:dLbl>
              <c:idx val="12"/>
              <c:layout>
                <c:manualLayout>
                  <c:x val="4.4578065505896165E-2"/>
                  <c:y val="1.4143605228958031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C-B006-48CF-8B8E-166A36BABEF1}"/>
                </c:ext>
              </c:extLst>
            </c:dLbl>
            <c:dLbl>
              <c:idx val="13"/>
              <c:layout>
                <c:manualLayout>
                  <c:x val="1.9527928727217881E-3"/>
                  <c:y val="6.0679611650485438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D-B006-48CF-8B8E-166A36BABEF1}"/>
                </c:ext>
              </c:extLst>
            </c:dLbl>
            <c:dLbl>
              <c:idx val="14"/>
              <c:layout>
                <c:manualLayout>
                  <c:x val="-7.9859339765627993E-2"/>
                  <c:y val="0.14119588206813941"/>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E-B006-48CF-8B8E-166A36BABEF1}"/>
                </c:ext>
              </c:extLst>
            </c:dLbl>
            <c:dLbl>
              <c:idx val="15"/>
              <c:layout>
                <c:manualLayout>
                  <c:x val="-8.4876945399430706E-2"/>
                  <c:y val="0.19207709018168845"/>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0F-B006-48CF-8B8E-166A36BABEF1}"/>
                </c:ext>
              </c:extLst>
            </c:dLbl>
            <c:dLbl>
              <c:idx val="16"/>
              <c:layout>
                <c:manualLayout>
                  <c:x val="1.315270230305708E-2"/>
                  <c:y val="4.4498381877022652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0-B006-48CF-8B8E-166A36BABEF1}"/>
                </c:ext>
              </c:extLst>
            </c:dLbl>
            <c:dLbl>
              <c:idx val="17"/>
              <c:layout>
                <c:manualLayout>
                  <c:x val="-3.3707164245314516E-2"/>
                  <c:y val="0.1779334849527304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1-B006-48CF-8B8E-166A36BABEF1}"/>
                </c:ext>
              </c:extLst>
            </c:dLbl>
            <c:dLbl>
              <c:idx val="18"/>
              <c:layout>
                <c:manualLayout>
                  <c:x val="-3.0834696499205207E-2"/>
                  <c:y val="-0.13252124582728136"/>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2-B006-48CF-8B8E-166A36BABEF1}"/>
                </c:ext>
              </c:extLst>
            </c:dLbl>
            <c:dLbl>
              <c:idx val="19"/>
              <c:layout>
                <c:manualLayout>
                  <c:x val="-5.8195283908173398E-2"/>
                  <c:y val="-5.6634304207119741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3-B006-48CF-8B8E-166A36BABEF1}"/>
                </c:ext>
              </c:extLst>
            </c:dLbl>
            <c:dLbl>
              <c:idx val="20"/>
              <c:layout>
                <c:manualLayout>
                  <c:x val="-2.0623428893571404E-2"/>
                  <c:y val="-0.26637648752643789"/>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4-B006-48CF-8B8E-166A36BABEF1}"/>
                </c:ext>
              </c:extLst>
            </c:dLbl>
            <c:dLbl>
              <c:idx val="21"/>
              <c:layout>
                <c:manualLayout>
                  <c:x val="-0.1355934161398839"/>
                  <c:y val="4.256571235634380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5-B006-48CF-8B8E-166A36BABEF1}"/>
                </c:ext>
              </c:extLst>
            </c:dLbl>
            <c:dLbl>
              <c:idx val="22"/>
              <c:layout>
                <c:manualLayout>
                  <c:x val="-0.11632021459465459"/>
                  <c:y val="0.13093258670336111"/>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6-B006-48CF-8B8E-166A36BABEF1}"/>
                </c:ext>
              </c:extLst>
            </c:dLbl>
            <c:dLbl>
              <c:idx val="23"/>
              <c:layout>
                <c:manualLayout>
                  <c:x val="-0.15548316143580648"/>
                  <c:y val="0.20923221975893791"/>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7-B006-48CF-8B8E-166A36BABEF1}"/>
                </c:ext>
              </c:extLst>
            </c:dLbl>
            <c:dLbl>
              <c:idx val="24"/>
              <c:layout>
                <c:manualLayout>
                  <c:x val="2.4309752874200584E-2"/>
                  <c:y val="2.936590602145590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8-B006-48CF-8B8E-166A36BABEF1}"/>
                </c:ext>
              </c:extLst>
            </c:dLbl>
            <c:dLbl>
              <c:idx val="25"/>
              <c:layout>
                <c:manualLayout>
                  <c:x val="2.0354145872610887E-2"/>
                  <c:y val="-2.2626646790509667E-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B006-48CF-8B8E-166A36BABEF1}"/>
                </c:ext>
              </c:extLst>
            </c:dLbl>
            <c:dLbl>
              <c:idx val="26"/>
              <c:layout>
                <c:manualLayout>
                  <c:x val="-2.2560857269601862E-2"/>
                  <c:y val="0.1867879303315241"/>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A-B006-48CF-8B8E-166A36BABEF1}"/>
                </c:ext>
              </c:extLst>
            </c:dLbl>
            <c:dLbl>
              <c:idx val="27"/>
              <c:layout>
                <c:manualLayout>
                  <c:x val="-9.1237038371964063E-2"/>
                  <c:y val="-0.1475637374818439"/>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B-B006-48CF-8B8E-166A36BABEF1}"/>
                </c:ext>
              </c:extLst>
            </c:dLbl>
            <c:dLbl>
              <c:idx val="28"/>
              <c:layout>
                <c:manualLayout>
                  <c:x val="4.9962801744852313E-2"/>
                  <c:y val="6.4724919093851127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C-B006-48CF-8B8E-166A36BABEF1}"/>
                </c:ext>
              </c:extLst>
            </c:dLbl>
            <c:dLbl>
              <c:idx val="29"/>
              <c:layout>
                <c:manualLayout>
                  <c:x val="4.9872694170270862E-2"/>
                  <c:y val="9.2173285681522818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D-B006-48CF-8B8E-166A36BABEF1}"/>
                </c:ext>
              </c:extLst>
            </c:dLbl>
            <c:dLbl>
              <c:idx val="30"/>
              <c:layout>
                <c:manualLayout>
                  <c:x val="-0.10917965139920896"/>
                  <c:y val="0.12929981143133806"/>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E-B006-48CF-8B8E-166A36BABEF1}"/>
                </c:ext>
              </c:extLst>
            </c:dLbl>
            <c:dLbl>
              <c:idx val="31"/>
              <c:layout>
                <c:manualLayout>
                  <c:x val="-0.14274807308417434"/>
                  <c:y val="-4.5442180771092931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F-B006-48CF-8B8E-166A36BABEF1}"/>
                </c:ext>
              </c:extLst>
            </c:dLbl>
            <c:dLbl>
              <c:idx val="32"/>
              <c:layout>
                <c:manualLayout>
                  <c:x val="-9.338725925104438E-2"/>
                  <c:y val="-0.10727566062737304"/>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0-B006-48CF-8B8E-166A36BABEF1}"/>
                </c:ext>
              </c:extLst>
            </c:dLbl>
            <c:dLbl>
              <c:idx val="33"/>
              <c:layout>
                <c:manualLayout>
                  <c:x val="-5.3724215370966062E-2"/>
                  <c:y val="-6.9893993833295115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1-B006-48CF-8B8E-166A36BABEF1}"/>
                </c:ext>
              </c:extLst>
            </c:dLbl>
            <c:dLbl>
              <c:idx val="34"/>
              <c:layout>
                <c:manualLayout>
                  <c:x val="-0.12769155946175745"/>
                  <c:y val="-7.3774303697474702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2-B006-48CF-8B8E-166A36BABEF1}"/>
                </c:ext>
              </c:extLst>
            </c:dLbl>
            <c:dLbl>
              <c:idx val="35"/>
              <c:layout>
                <c:manualLayout>
                  <c:x val="-2.879537725037886E-2"/>
                  <c:y val="4.3374614580944375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3-B006-48CF-8B8E-166A36BABEF1}"/>
                </c:ext>
              </c:extLst>
            </c:dLbl>
            <c:dLbl>
              <c:idx val="36"/>
              <c:layout>
                <c:manualLayout>
                  <c:x val="5.7483434068980814E-2"/>
                  <c:y val="3.8430420711974111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4-B006-48CF-8B8E-166A36BABEF1}"/>
                </c:ext>
              </c:extLst>
            </c:dLbl>
            <c:dLbl>
              <c:idx val="37"/>
              <c:layout>
                <c:manualLayout>
                  <c:x val="-0.17603219381908247"/>
                  <c:y val="-2.0226537216828477E-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5-B006-48CF-8B8E-166A36BABEF1}"/>
                </c:ext>
              </c:extLst>
            </c:dLbl>
            <c:dLbl>
              <c:idx val="38"/>
              <c:layout>
                <c:manualLayout>
                  <c:x val="9.3226682932239099E-4"/>
                  <c:y val="0.1152012779349183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6-B006-48CF-8B8E-166A36BABEF1}"/>
                </c:ext>
              </c:extLst>
            </c:dLbl>
            <c:dLbl>
              <c:idx val="39"/>
              <c:layout>
                <c:manualLayout>
                  <c:x val="1.1085657646667406E-2"/>
                  <c:y val="0.1517289707718574"/>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7-B006-48CF-8B8E-166A36BABEF1}"/>
                </c:ext>
              </c:extLst>
            </c:dLbl>
            <c:dLbl>
              <c:idx val="40"/>
              <c:layout>
                <c:manualLayout>
                  <c:x val="-4.3748960297216366E-2"/>
                  <c:y val="4.8438734296562293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8-B006-48CF-8B8E-166A36BABEF1}"/>
                </c:ext>
              </c:extLst>
            </c:dLbl>
            <c:dLbl>
              <c:idx val="41"/>
              <c:layout>
                <c:manualLayout>
                  <c:x val="-0.16120129570071351"/>
                  <c:y val="6.2702265372168289E-2"/>
                </c:manualLayout>
              </c:layout>
              <c:tx>
                <c:rich>
                  <a:bodyPr rot="0" spcFirstLastPara="1" vertOverflow="clip" horzOverflow="clip" vert="horz" wrap="none" lIns="38100" tIns="19050" rIns="38100" bIns="19050" anchor="ctr" anchorCtr="1">
                    <a:noAutofit/>
                  </a:bodyPr>
                  <a:lstStyle/>
                  <a:p>
                    <a:pPr>
                      <a:defRPr sz="600" b="0" i="0" u="none" strike="noStrike" kern="1200" baseline="0">
                        <a:solidFill>
                          <a:schemeClr val="tx1">
                            <a:lumMod val="75000"/>
                            <a:lumOff val="25000"/>
                          </a:schemeClr>
                        </a:solidFill>
                        <a:latin typeface="+mn-lt"/>
                        <a:ea typeface="+mn-ea"/>
                        <a:cs typeface="+mn-cs"/>
                      </a:defRPr>
                    </a:pPr>
                    <a:endParaRPr lang="en-US" baseline="0"/>
                  </a:p>
                </c:rich>
              </c:tx>
              <c:spPr>
                <a:noFill/>
                <a:ln>
                  <a:noFill/>
                </a:ln>
                <a:effectLst/>
              </c:spPr>
              <c:txPr>
                <a:bodyPr rot="0" spcFirstLastPara="1" vertOverflow="clip" horzOverflow="clip" vert="horz" wrap="none" lIns="38100" tIns="19050" rIns="38100" bIns="19050" anchor="ctr" anchorCtr="1">
                  <a:no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a:noFill/>
                    <a:ln>
                      <a:noFill/>
                    </a:ln>
                  </c15:spPr>
                  <c15:layout>
                    <c:manualLayout>
                      <c:w val="4.0690317556459285E-2"/>
                      <c:h val="3.7606772836590016E-2"/>
                    </c:manualLayout>
                  </c15:layout>
                  <c15:showDataLabelsRange val="1"/>
                </c:ext>
                <c:ext xmlns:c16="http://schemas.microsoft.com/office/drawing/2014/chart" uri="{C3380CC4-5D6E-409C-BE32-E72D297353CC}">
                  <c16:uniqueId val="{00000029-B006-48CF-8B8E-166A36BABEF1}"/>
                </c:ext>
              </c:extLst>
            </c:dLbl>
            <c:dLbl>
              <c:idx val="42"/>
              <c:layout>
                <c:manualLayout>
                  <c:x val="5.126196813426491E-2"/>
                  <c:y val="0.17075672731442551"/>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A-B006-48CF-8B8E-166A36BABEF1}"/>
                </c:ext>
              </c:extLst>
            </c:dLbl>
            <c:dLbl>
              <c:idx val="43"/>
              <c:layout>
                <c:manualLayout>
                  <c:x val="-3.288267993789503E-2"/>
                  <c:y val="-9.7162392018958793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B-B006-48CF-8B8E-166A36BABEF1}"/>
                </c:ext>
              </c:extLst>
            </c:dLbl>
            <c:dLbl>
              <c:idx val="44"/>
              <c:layout>
                <c:manualLayout>
                  <c:x val="-0.13064743447562013"/>
                  <c:y val="-6.9759097163825473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C-B006-48CF-8B8E-166A36BABEF1}"/>
                </c:ext>
              </c:extLst>
            </c:dLbl>
            <c:dLbl>
              <c:idx val="45"/>
              <c:layout>
                <c:manualLayout>
                  <c:x val="3.9422294924402058E-2"/>
                  <c:y val="-2.0226537216828477E-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D-B006-48CF-8B8E-166A36BABEF1}"/>
                </c:ext>
              </c:extLst>
            </c:dLbl>
            <c:dLbl>
              <c:idx val="46"/>
              <c:layout>
                <c:manualLayout>
                  <c:x val="-0.14509479778936088"/>
                  <c:y val="8.7902938103610828E-2"/>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E-B006-48CF-8B8E-166A36BABEF1}"/>
                </c:ext>
              </c:extLst>
            </c:dLbl>
            <c:dLbl>
              <c:idx val="47"/>
              <c:layout>
                <c:manualLayout>
                  <c:x val="-1.4955546929873741E-3"/>
                  <c:y val="-0.23251519379252358"/>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2F-B006-48CF-8B8E-166A36BABEF1}"/>
                </c:ext>
              </c:extLst>
            </c:dLbl>
            <c:dLbl>
              <c:idx val="48"/>
              <c:layout>
                <c:manualLayout>
                  <c:x val="1.7094562123396547E-2"/>
                  <c:y val="-6.9518767678312058E-3"/>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0-B006-48CF-8B8E-166A36BABEF1}"/>
                </c:ext>
              </c:extLst>
            </c:dLbl>
            <c:dLbl>
              <c:idx val="49"/>
              <c:layout>
                <c:manualLayout>
                  <c:x val="-0.1290525304055303"/>
                  <c:y val="0.10297537140381724"/>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1-B006-48CF-8B8E-166A36BABEF1}"/>
                </c:ext>
              </c:extLst>
            </c:dLbl>
            <c:dLbl>
              <c:idx val="50"/>
              <c:layout>
                <c:manualLayout>
                  <c:x val="4.7830948948282874E-2"/>
                  <c:y val="0.13327010549652168"/>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32-B006-48CF-8B8E-166A36BABEF1}"/>
                </c:ext>
              </c:extLst>
            </c:dLbl>
            <c:spPr>
              <a:noFill/>
              <a:ln>
                <a:noFill/>
              </a:ln>
              <a:effectLst/>
            </c:spPr>
            <c:txPr>
              <a:bodyPr rot="0" spcFirstLastPara="1" vertOverflow="clip" horzOverflow="clip" vert="horz" wrap="non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1"/>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Model'!$E$16:$E$70</c:f>
              <c:numCache>
                <c:formatCode>#,##0</c:formatCode>
                <c:ptCount val="55"/>
                <c:pt idx="52">
                  <c:v>0</c:v>
                </c:pt>
                <c:pt idx="53" formatCode="General">
                  <c:v>0</c:v>
                </c:pt>
              </c:numCache>
            </c:numRef>
          </c:yVal>
          <c:bubbleSize>
            <c:numRef>
              <c:f>'Stratified Scenario Model'!$AC$16:$AC$66</c:f>
              <c:numCache>
                <c:formatCode>0.0</c:formatCode>
                <c:ptCount val="51"/>
                <c:pt idx="0">
                  <c:v>3.4174247653937901</c:v>
                </c:pt>
                <c:pt idx="1">
                  <c:v>33.304882438659767</c:v>
                </c:pt>
                <c:pt idx="2">
                  <c:v>15.739922142060916</c:v>
                </c:pt>
                <c:pt idx="3">
                  <c:v>51.918490580139334</c:v>
                </c:pt>
                <c:pt idx="4">
                  <c:v>23.759736322605789</c:v>
                </c:pt>
                <c:pt idx="5">
                  <c:v>29.364082673697837</c:v>
                </c:pt>
                <c:pt idx="6">
                  <c:v>124.45000921384451</c:v>
                </c:pt>
                <c:pt idx="7">
                  <c:v>83.032352861994852</c:v>
                </c:pt>
                <c:pt idx="8">
                  <c:v>60.076158083478134</c:v>
                </c:pt>
                <c:pt idx="9">
                  <c:v>33.890907594221872</c:v>
                </c:pt>
                <c:pt idx="10">
                  <c:v>36.185805161949375</c:v>
                </c:pt>
                <c:pt idx="11">
                  <c:v>1.836324187497175</c:v>
                </c:pt>
                <c:pt idx="12">
                  <c:v>27.955005752645743</c:v>
                </c:pt>
                <c:pt idx="13">
                  <c:v>11.02366170228839</c:v>
                </c:pt>
                <c:pt idx="14">
                  <c:v>60.946252318431583</c:v>
                </c:pt>
                <c:pt idx="15">
                  <c:v>44.26475133978856</c:v>
                </c:pt>
                <c:pt idx="16">
                  <c:v>12.528687261311344</c:v>
                </c:pt>
                <c:pt idx="17">
                  <c:v>16.652964529857041</c:v>
                </c:pt>
                <c:pt idx="18">
                  <c:v>86.560084185274718</c:v>
                </c:pt>
                <c:pt idx="19">
                  <c:v>125.46965884527</c:v>
                </c:pt>
                <c:pt idx="20">
                  <c:v>58.273014780802164</c:v>
                </c:pt>
                <c:pt idx="21">
                  <c:v>9.2247353840019279</c:v>
                </c:pt>
                <c:pt idx="22">
                  <c:v>64.715054996782271</c:v>
                </c:pt>
                <c:pt idx="23">
                  <c:v>29.363618051674294</c:v>
                </c:pt>
                <c:pt idx="24">
                  <c:v>20.448305055472748</c:v>
                </c:pt>
                <c:pt idx="25">
                  <c:v>57.490401186230933</c:v>
                </c:pt>
                <c:pt idx="26">
                  <c:v>5.9881472111140015</c:v>
                </c:pt>
                <c:pt idx="27">
                  <c:v>18.897636594062366</c:v>
                </c:pt>
                <c:pt idx="28">
                  <c:v>12.466177292661225</c:v>
                </c:pt>
                <c:pt idx="29">
                  <c:v>17.162873602673272</c:v>
                </c:pt>
                <c:pt idx="30">
                  <c:v>30.668281715746947</c:v>
                </c:pt>
                <c:pt idx="31">
                  <c:v>178.40194816818826</c:v>
                </c:pt>
                <c:pt idx="32">
                  <c:v>31.189953973356911</c:v>
                </c:pt>
                <c:pt idx="33">
                  <c:v>27.498607213400881</c:v>
                </c:pt>
                <c:pt idx="34">
                  <c:v>129.39533281335997</c:v>
                </c:pt>
                <c:pt idx="35">
                  <c:v>30.276069158446759</c:v>
                </c:pt>
                <c:pt idx="36">
                  <c:v>13.924792473839206</c:v>
                </c:pt>
                <c:pt idx="37">
                  <c:v>7.7766821402093109</c:v>
                </c:pt>
                <c:pt idx="38">
                  <c:v>56.311562211153287</c:v>
                </c:pt>
                <c:pt idx="39">
                  <c:v>95.340492995305667</c:v>
                </c:pt>
                <c:pt idx="40">
                  <c:v>34.824229895076712</c:v>
                </c:pt>
                <c:pt idx="41">
                  <c:v>15.260117175092322</c:v>
                </c:pt>
                <c:pt idx="42">
                  <c:v>15.990220779262616</c:v>
                </c:pt>
                <c:pt idx="43">
                  <c:v>24.196540191346486</c:v>
                </c:pt>
                <c:pt idx="44">
                  <c:v>9.7942643041487134</c:v>
                </c:pt>
                <c:pt idx="45">
                  <c:v>25.985531752667882</c:v>
                </c:pt>
                <c:pt idx="46">
                  <c:v>1.2820738827126759</c:v>
                </c:pt>
                <c:pt idx="47">
                  <c:v>0.74853317045951917</c:v>
                </c:pt>
                <c:pt idx="48">
                  <c:v>27.411216683606892</c:v>
                </c:pt>
                <c:pt idx="49">
                  <c:v>6.5284823175777431</c:v>
                </c:pt>
                <c:pt idx="50">
                  <c:v>4.6651542351825199</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37-B006-48CF-8B8E-166A36BABEF1}"/>
            </c:ext>
          </c:extLst>
        </c:ser>
        <c:dLbls>
          <c:showLegendKey val="0"/>
          <c:showVal val="0"/>
          <c:showCatName val="0"/>
          <c:showSerName val="0"/>
          <c:showPercent val="0"/>
          <c:showBubbleSize val="0"/>
        </c:dLbls>
        <c:bubbleScale val="50"/>
        <c:showNegBubbles val="0"/>
        <c:axId val="590179784"/>
        <c:axId val="590186344"/>
      </c:bubbleChart>
      <c:valAx>
        <c:axId val="59017978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layout>
            <c:manualLayout>
              <c:xMode val="edge"/>
              <c:yMode val="edge"/>
              <c:x val="0.37610924734760265"/>
              <c:y val="0.9125361529444739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6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63021597300337462"/>
          <c:y val="0.88505661665108148"/>
          <c:w val="0.26524617115168297"/>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kern="1200" spc="0" baseline="0">
                <a:solidFill>
                  <a:srgbClr val="595959"/>
                </a:solidFill>
                <a:effectLst/>
              </a:rPr>
              <a:t> US 50 State Risk Scenario Matrix</a:t>
            </a:r>
          </a:p>
          <a:p>
            <a:pPr>
              <a:defRPr/>
            </a:pPr>
            <a:r>
              <a:rPr lang="en-US" sz="1200">
                <a:effectLst/>
              </a:rPr>
              <a:t>Weekly Death Rate by State per 100K Population</a:t>
            </a:r>
            <a:endParaRPr lang="en-US">
              <a:effectLst/>
            </a:endParaRPr>
          </a:p>
          <a:p>
            <a:pPr>
              <a:defRPr/>
            </a:pPr>
            <a:r>
              <a:rPr lang="en-US" sz="1050" b="0" i="0" kern="1200" spc="0" baseline="0">
                <a:solidFill>
                  <a:srgbClr val="595959"/>
                </a:solidFill>
                <a:effectLst/>
              </a:rPr>
              <a:t>Data updated 2020.07.28 16:00 ET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416687522861599E-2"/>
          <c:y val="0.15661380670577946"/>
          <c:w val="0.83554746041360217"/>
          <c:h val="0.66586643636810794"/>
        </c:manualLayout>
      </c:layout>
      <c:bubbleChart>
        <c:varyColors val="0"/>
        <c:ser>
          <c:idx val="0"/>
          <c:order val="0"/>
          <c:tx>
            <c:v>Weekly Death Rate per 100K</c:v>
          </c:tx>
          <c:spPr>
            <a:noFill/>
            <a:ln>
              <a:solidFill>
                <a:srgbClr val="FF0000"/>
              </a:solidFill>
            </a:ln>
            <a:effectLst/>
          </c:spPr>
          <c:invertIfNegative val="0"/>
          <c:dLbls>
            <c:dLbl>
              <c:idx val="0"/>
              <c:layout>
                <c:manualLayout>
                  <c:x val="-1.3316558652321019E-2"/>
                  <c:y val="0.18797708754371903"/>
                </c:manualLayout>
              </c:layout>
              <c:tx>
                <c:rich>
                  <a:bodyPr/>
                  <a:lstStyle/>
                  <a:p>
                    <a:fld id="{9571F33E-1FDC-4730-AC82-0A744BE19806}" type="CELLRANGE">
                      <a:rPr lang="en-US" baseline="0"/>
                      <a:pPr/>
                      <a:t>[CELLRANGE]</a:t>
                    </a:fld>
                    <a:r>
                      <a:rPr lang="en-US" baseline="0"/>
                      <a:t>, </a:t>
                    </a:r>
                    <a:fld id="{E8EBAF63-6174-4776-B589-28C81C3CF23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2874-41B6-9BFD-9CD7D514FE83}"/>
                </c:ext>
              </c:extLst>
            </c:dLbl>
            <c:dLbl>
              <c:idx val="1"/>
              <c:layout>
                <c:manualLayout>
                  <c:x val="-5.2183588503460353E-2"/>
                  <c:y val="-0.1131840837587683"/>
                </c:manualLayout>
              </c:layout>
              <c:tx>
                <c:rich>
                  <a:bodyPr/>
                  <a:lstStyle/>
                  <a:p>
                    <a:fld id="{86A522E6-209A-49CA-ACBB-FB53BBAC8265}" type="CELLRANGE">
                      <a:rPr lang="en-US" baseline="0"/>
                      <a:pPr/>
                      <a:t>[CELLRANGE]</a:t>
                    </a:fld>
                    <a:r>
                      <a:rPr lang="en-US" baseline="0"/>
                      <a:t>, </a:t>
                    </a:r>
                    <a:fld id="{29251C32-E5C4-4DB7-8086-274331AF885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layout>
                    <c:manualLayout>
                      <c:w val="3.0913918257158078E-2"/>
                      <c:h val="1.7029971342719399E-2"/>
                    </c:manualLayout>
                  </c15:layout>
                  <c15:dlblFieldTable/>
                  <c15:showDataLabelsRange val="1"/>
                </c:ext>
                <c:ext xmlns:c16="http://schemas.microsoft.com/office/drawing/2014/chart" uri="{C3380CC4-5D6E-409C-BE32-E72D297353CC}">
                  <c16:uniqueId val="{00000003-2874-41B6-9BFD-9CD7D514FE83}"/>
                </c:ext>
              </c:extLst>
            </c:dLbl>
            <c:dLbl>
              <c:idx val="2"/>
              <c:layout>
                <c:manualLayout>
                  <c:x val="3.6278982411996452E-2"/>
                  <c:y val="2.9364203687426756E-2"/>
                </c:manualLayout>
              </c:layout>
              <c:tx>
                <c:rich>
                  <a:bodyPr/>
                  <a:lstStyle/>
                  <a:p>
                    <a:fld id="{9D6C5CA0-ECE7-4380-90B6-77965F011945}" type="CELLRANGE">
                      <a:rPr lang="en-US" baseline="0"/>
                      <a:pPr/>
                      <a:t>[CELLRANGE]</a:t>
                    </a:fld>
                    <a:r>
                      <a:rPr lang="en-US" baseline="0"/>
                      <a:t>, </a:t>
                    </a:r>
                    <a:fld id="{526EB8A7-FC62-46FB-9A68-E36970A8ED19}"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4-2874-41B6-9BFD-9CD7D514FE83}"/>
                </c:ext>
              </c:extLst>
            </c:dLbl>
            <c:dLbl>
              <c:idx val="3"/>
              <c:layout>
                <c:manualLayout>
                  <c:x val="9.0441897029763351E-4"/>
                  <c:y val="-0.15224993948502832"/>
                </c:manualLayout>
              </c:layout>
              <c:tx>
                <c:rich>
                  <a:bodyPr/>
                  <a:lstStyle/>
                  <a:p>
                    <a:fld id="{77B936A1-2281-46D7-9235-CE3C0175008F}" type="CELLRANGE">
                      <a:rPr lang="en-US" baseline="0"/>
                      <a:pPr/>
                      <a:t>[CELLRANGE]</a:t>
                    </a:fld>
                    <a:r>
                      <a:rPr lang="en-US" baseline="0"/>
                      <a:t>, </a:t>
                    </a:r>
                    <a:fld id="{05F5E4F5-0E37-4596-90D6-7F3BD8343C8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2874-41B6-9BFD-9CD7D514FE83}"/>
                </c:ext>
              </c:extLst>
            </c:dLbl>
            <c:dLbl>
              <c:idx val="4"/>
              <c:layout>
                <c:manualLayout>
                  <c:x val="-1.1257301768226792E-3"/>
                  <c:y val="-5.0973419723727147E-2"/>
                </c:manualLayout>
              </c:layout>
              <c:tx>
                <c:rich>
                  <a:bodyPr/>
                  <a:lstStyle/>
                  <a:p>
                    <a:fld id="{699D4E09-3F90-45E0-AD30-AEE556EE4B71}" type="CELLRANGE">
                      <a:rPr lang="en-US" baseline="0"/>
                      <a:pPr/>
                      <a:t>[CELLRANGE]</a:t>
                    </a:fld>
                    <a:r>
                      <a:rPr lang="en-US" baseline="0"/>
                      <a:t>, </a:t>
                    </a:r>
                    <a:fld id="{6746607D-CBA7-4F37-95AD-C70F3F70B32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2874-41B6-9BFD-9CD7D514FE83}"/>
                </c:ext>
              </c:extLst>
            </c:dLbl>
            <c:dLbl>
              <c:idx val="5"/>
              <c:layout>
                <c:manualLayout>
                  <c:x val="4.497665143669783E-2"/>
                  <c:y val="2.8102500346538727E-2"/>
                </c:manualLayout>
              </c:layout>
              <c:tx>
                <c:rich>
                  <a:bodyPr/>
                  <a:lstStyle/>
                  <a:p>
                    <a:fld id="{D21EC66E-4870-4529-830F-D4E5C7A1CF0D}" type="CELLRANGE">
                      <a:rPr lang="en-US" baseline="0"/>
                      <a:pPr/>
                      <a:t>[CELLRANGE]</a:t>
                    </a:fld>
                    <a:r>
                      <a:rPr lang="en-US" baseline="0"/>
                      <a:t>, </a:t>
                    </a:r>
                    <a:fld id="{102C1A14-5F3E-44E2-A403-5D61D0068A8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7-2874-41B6-9BFD-9CD7D514FE83}"/>
                </c:ext>
              </c:extLst>
            </c:dLbl>
            <c:dLbl>
              <c:idx val="6"/>
              <c:layout>
                <c:manualLayout>
                  <c:x val="-4.4371106551412347E-2"/>
                  <c:y val="0.12054829031080903"/>
                </c:manualLayout>
              </c:layout>
              <c:tx>
                <c:rich>
                  <a:bodyPr/>
                  <a:lstStyle/>
                  <a:p>
                    <a:fld id="{30A78D25-E4DA-4525-8E55-21D44C130381}" type="CELLRANGE">
                      <a:rPr lang="en-US" baseline="0"/>
                      <a:pPr/>
                      <a:t>[CELLRANGE]</a:t>
                    </a:fld>
                    <a:r>
                      <a:rPr lang="en-US" baseline="0"/>
                      <a:t>, </a:t>
                    </a:r>
                    <a:fld id="{F724CFFB-ECA7-4B28-AAD4-16C1FA37F2FA}"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layout>
                    <c:manualLayout>
                      <c:w val="4.6726659167604039E-2"/>
                      <c:h val="3.1553809887395826E-2"/>
                    </c:manualLayout>
                  </c15:layout>
                  <c15:dlblFieldTable/>
                  <c15:showDataLabelsRange val="1"/>
                </c:ext>
                <c:ext xmlns:c16="http://schemas.microsoft.com/office/drawing/2014/chart" uri="{C3380CC4-5D6E-409C-BE32-E72D297353CC}">
                  <c16:uniqueId val="{00000008-2874-41B6-9BFD-9CD7D514FE83}"/>
                </c:ext>
              </c:extLst>
            </c:dLbl>
            <c:dLbl>
              <c:idx val="7"/>
              <c:layout>
                <c:manualLayout>
                  <c:x val="-0.11081583442410338"/>
                  <c:y val="1.5154570739536331E-2"/>
                </c:manualLayout>
              </c:layout>
              <c:tx>
                <c:rich>
                  <a:bodyPr/>
                  <a:lstStyle/>
                  <a:p>
                    <a:fld id="{34DBD55D-18AD-4CF1-BA1D-C804F4A12A38}" type="CELLRANGE">
                      <a:rPr lang="en-US" baseline="0"/>
                      <a:pPr/>
                      <a:t>[CELLRANGE]</a:t>
                    </a:fld>
                    <a:r>
                      <a:rPr lang="en-US" baseline="0"/>
                      <a:t>, </a:t>
                    </a:r>
                    <a:fld id="{366D5A8E-E53C-4716-9C82-A2B0B8199180}"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2874-41B6-9BFD-9CD7D514FE83}"/>
                </c:ext>
              </c:extLst>
            </c:dLbl>
            <c:dLbl>
              <c:idx val="8"/>
              <c:layout>
                <c:manualLayout>
                  <c:x val="-0.16703382457644778"/>
                  <c:y val="-1.5537984861787943E-2"/>
                </c:manualLayout>
              </c:layout>
              <c:tx>
                <c:rich>
                  <a:bodyPr/>
                  <a:lstStyle/>
                  <a:p>
                    <a:fld id="{D8750D8A-3F7C-4B6F-AFB6-84E9980D6B02}" type="CELLRANGE">
                      <a:rPr lang="en-US" baseline="0"/>
                      <a:pPr/>
                      <a:t>[CELLRANGE]</a:t>
                    </a:fld>
                    <a:r>
                      <a:rPr lang="en-US" baseline="0"/>
                      <a:t>, </a:t>
                    </a:r>
                    <a:fld id="{BDB69824-AD1C-4A8F-80F1-AF2D7326148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A-2874-41B6-9BFD-9CD7D514FE83}"/>
                </c:ext>
              </c:extLst>
            </c:dLbl>
            <c:dLbl>
              <c:idx val="9"/>
              <c:layout>
                <c:manualLayout>
                  <c:x val="-5.0765163860388311E-2"/>
                  <c:y val="-0.14552239340413076"/>
                </c:manualLayout>
              </c:layout>
              <c:tx>
                <c:rich>
                  <a:bodyPr/>
                  <a:lstStyle/>
                  <a:p>
                    <a:fld id="{D3A3C820-3CAF-4D79-9033-A0C1B9C06927}" type="CELLRANGE">
                      <a:rPr lang="en-US" baseline="0"/>
                      <a:pPr/>
                      <a:t>[CELLRANGE]</a:t>
                    </a:fld>
                    <a:r>
                      <a:rPr lang="en-US" baseline="0"/>
                      <a:t>, </a:t>
                    </a:r>
                    <a:fld id="{1FADA6F9-63B8-4FE1-B457-654A6E1D445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B-2874-41B6-9BFD-9CD7D514FE83}"/>
                </c:ext>
              </c:extLst>
            </c:dLbl>
            <c:dLbl>
              <c:idx val="10"/>
              <c:layout>
                <c:manualLayout>
                  <c:x val="-5.3118963321017329E-2"/>
                  <c:y val="-0.11789716958626538"/>
                </c:manualLayout>
              </c:layout>
              <c:tx>
                <c:rich>
                  <a:bodyPr/>
                  <a:lstStyle/>
                  <a:p>
                    <a:fld id="{78879AC8-3AAE-4EFD-9D60-BEC728A590DE}" type="CELLRANGE">
                      <a:rPr lang="en-US" baseline="0"/>
                      <a:pPr/>
                      <a:t>[CELLRANGE]</a:t>
                    </a:fld>
                    <a:r>
                      <a:rPr lang="en-US" baseline="0"/>
                      <a:t>, </a:t>
                    </a:r>
                    <a:fld id="{8DBFBE08-5864-48C8-B764-19732EBE468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C-2874-41B6-9BFD-9CD7D514FE83}"/>
                </c:ext>
              </c:extLst>
            </c:dLbl>
            <c:dLbl>
              <c:idx val="11"/>
              <c:layout>
                <c:manualLayout>
                  <c:x val="-6.1232398482146969E-2"/>
                  <c:y val="-5.0519696688299275E-2"/>
                </c:manualLayout>
              </c:layout>
              <c:tx>
                <c:rich>
                  <a:bodyPr/>
                  <a:lstStyle/>
                  <a:p>
                    <a:fld id="{D830737E-F14A-4C50-B4DB-B18A0F3E5F2E}" type="CELLRANGE">
                      <a:rPr lang="en-US" baseline="0"/>
                      <a:pPr/>
                      <a:t>[CELLRANGE]</a:t>
                    </a:fld>
                    <a:r>
                      <a:rPr lang="en-US" baseline="0"/>
                      <a:t>, </a:t>
                    </a:r>
                    <a:fld id="{3FBD76E4-9890-4806-86FF-9AB83F17C3E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D-2874-41B6-9BFD-9CD7D514FE83}"/>
                </c:ext>
              </c:extLst>
            </c:dLbl>
            <c:dLbl>
              <c:idx val="12"/>
              <c:layout>
                <c:manualLayout>
                  <c:x val="4.3085803602244163E-2"/>
                  <c:y val="6.8705380652301265E-2"/>
                </c:manualLayout>
              </c:layout>
              <c:tx>
                <c:rich>
                  <a:bodyPr/>
                  <a:lstStyle/>
                  <a:p>
                    <a:fld id="{FF827609-C23A-48AA-BA37-D7DB9C8E4275}" type="CELLRANGE">
                      <a:rPr lang="en-US" baseline="0"/>
                      <a:pPr/>
                      <a:t>[CELLRANGE]</a:t>
                    </a:fld>
                    <a:r>
                      <a:rPr lang="en-US" baseline="0"/>
                      <a:t>, </a:t>
                    </a:r>
                    <a:fld id="{C6930432-869E-404C-A62B-4EB4C3DD649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E-2874-41B6-9BFD-9CD7D514FE83}"/>
                </c:ext>
              </c:extLst>
            </c:dLbl>
            <c:dLbl>
              <c:idx val="13"/>
              <c:layout>
                <c:manualLayout>
                  <c:x val="-2.074457591182307E-2"/>
                  <c:y val="7.4782341054900489E-2"/>
                </c:manualLayout>
              </c:layout>
              <c:tx>
                <c:rich>
                  <a:bodyPr/>
                  <a:lstStyle/>
                  <a:p>
                    <a:fld id="{20EFFE45-7CEA-4CB8-97EE-2B9A8D9D0273}" type="CELLRANGE">
                      <a:rPr lang="en-US" baseline="0"/>
                      <a:pPr/>
                      <a:t>[CELLRANGE]</a:t>
                    </a:fld>
                    <a:r>
                      <a:rPr lang="en-US" baseline="0"/>
                      <a:t>, </a:t>
                    </a:r>
                    <a:fld id="{D628AA28-8A41-480E-B2E0-03008072E52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F-2874-41B6-9BFD-9CD7D514FE83}"/>
                </c:ext>
              </c:extLst>
            </c:dLbl>
            <c:dLbl>
              <c:idx val="14"/>
              <c:layout>
                <c:manualLayout>
                  <c:x val="1.6466893645411398E-2"/>
                  <c:y val="-0.12701157574620417"/>
                </c:manualLayout>
              </c:layout>
              <c:tx>
                <c:rich>
                  <a:bodyPr/>
                  <a:lstStyle/>
                  <a:p>
                    <a:fld id="{ECF8F8E2-4EBB-4E49-A358-CC95CC1D8150}" type="CELLRANGE">
                      <a:rPr lang="en-US" baseline="0"/>
                      <a:pPr/>
                      <a:t>[CELLRANGE]</a:t>
                    </a:fld>
                    <a:r>
                      <a:rPr lang="en-US" baseline="0"/>
                      <a:t>, </a:t>
                    </a:r>
                    <a:fld id="{0AF3229B-A165-42CB-9088-3F7F0514E0A9}"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0-2874-41B6-9BFD-9CD7D514FE83}"/>
                </c:ext>
              </c:extLst>
            </c:dLbl>
            <c:dLbl>
              <c:idx val="15"/>
              <c:layout>
                <c:manualLayout>
                  <c:x val="4.867391156699874E-2"/>
                  <c:y val="4.2341382739650033E-2"/>
                </c:manualLayout>
              </c:layout>
              <c:tx>
                <c:rich>
                  <a:bodyPr/>
                  <a:lstStyle/>
                  <a:p>
                    <a:fld id="{15D3C02C-FC58-4D4C-87B5-865D7525A129}" type="CELLRANGE">
                      <a:rPr lang="en-US" baseline="0"/>
                      <a:pPr/>
                      <a:t>[CELLRANGE]</a:t>
                    </a:fld>
                    <a:r>
                      <a:rPr lang="en-US" baseline="0"/>
                      <a:t>, </a:t>
                    </a:r>
                    <a:fld id="{4F111E48-3985-4351-85A4-6F9499317D6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1-2874-41B6-9BFD-9CD7D514FE83}"/>
                </c:ext>
              </c:extLst>
            </c:dLbl>
            <c:dLbl>
              <c:idx val="16"/>
              <c:layout>
                <c:manualLayout>
                  <c:x val="2.5578885894436864E-2"/>
                  <c:y val="6.669776364355974E-2"/>
                </c:manualLayout>
              </c:layout>
              <c:tx>
                <c:rich>
                  <a:bodyPr/>
                  <a:lstStyle/>
                  <a:p>
                    <a:fld id="{526F13DE-4D05-4370-9012-1F969B743CDE}" type="CELLRANGE">
                      <a:rPr lang="en-US" baseline="0"/>
                      <a:pPr/>
                      <a:t>[CELLRANGE]</a:t>
                    </a:fld>
                    <a:r>
                      <a:rPr lang="en-US" baseline="0"/>
                      <a:t>, </a:t>
                    </a:r>
                    <a:fld id="{28C88A99-5578-4CBB-BF74-3599A24EFF7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2-2874-41B6-9BFD-9CD7D514FE83}"/>
                </c:ext>
              </c:extLst>
            </c:dLbl>
            <c:dLbl>
              <c:idx val="17"/>
              <c:layout>
                <c:manualLayout>
                  <c:x val="6.0009989036085634E-2"/>
                  <c:y val="0.13846414354644629"/>
                </c:manualLayout>
              </c:layout>
              <c:tx>
                <c:rich>
                  <a:bodyPr/>
                  <a:lstStyle/>
                  <a:p>
                    <a:fld id="{4449D442-1662-4995-9B29-E70EE6C5799E}" type="CELLRANGE">
                      <a:rPr lang="en-US" baseline="0"/>
                      <a:pPr/>
                      <a:t>[CELLRANGE]</a:t>
                    </a:fld>
                    <a:r>
                      <a:rPr lang="en-US" baseline="0"/>
                      <a:t>, </a:t>
                    </a:r>
                    <a:fld id="{16E80D94-AEFB-402F-B20D-B0A0B56C926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3-2874-41B6-9BFD-9CD7D514FE83}"/>
                </c:ext>
              </c:extLst>
            </c:dLbl>
            <c:dLbl>
              <c:idx val="18"/>
              <c:layout>
                <c:manualLayout>
                  <c:x val="-1.3722796394152132E-2"/>
                  <c:y val="-8.5918687293797522E-2"/>
                </c:manualLayout>
              </c:layout>
              <c:tx>
                <c:rich>
                  <a:bodyPr/>
                  <a:lstStyle/>
                  <a:p>
                    <a:fld id="{CE913FCE-21B4-4020-BE91-A67BAC1B4BDF}" type="CELLRANGE">
                      <a:rPr lang="en-US" baseline="0"/>
                      <a:pPr/>
                      <a:t>[CELLRANGE]</a:t>
                    </a:fld>
                    <a:r>
                      <a:rPr lang="en-US" baseline="0"/>
                      <a:t>, </a:t>
                    </a:r>
                    <a:fld id="{5CFE1990-8EAE-4879-BB8E-D4882D27D08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4-2874-41B6-9BFD-9CD7D514FE83}"/>
                </c:ext>
              </c:extLst>
            </c:dLbl>
            <c:dLbl>
              <c:idx val="19"/>
              <c:layout>
                <c:manualLayout>
                  <c:x val="-8.505266107923394E-2"/>
                  <c:y val="-3.6363636363636362E-2"/>
                </c:manualLayout>
              </c:layout>
              <c:tx>
                <c:rich>
                  <a:bodyPr/>
                  <a:lstStyle/>
                  <a:p>
                    <a:fld id="{6F0552EA-B502-4055-B633-EF8074257223}" type="CELLRANGE">
                      <a:rPr lang="en-US" baseline="0"/>
                      <a:pPr/>
                      <a:t>[CELLRANGE]</a:t>
                    </a:fld>
                    <a:r>
                      <a:rPr lang="en-US" baseline="0"/>
                      <a:t>, </a:t>
                    </a:r>
                    <a:fld id="{CBF6355C-2DC4-4AA9-B6EF-A8FA0122936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5-2874-41B6-9BFD-9CD7D514FE83}"/>
                </c:ext>
              </c:extLst>
            </c:dLbl>
            <c:dLbl>
              <c:idx val="20"/>
              <c:layout>
                <c:manualLayout>
                  <c:x val="-7.9312692405606608E-2"/>
                  <c:y val="-7.8171975194352206E-2"/>
                </c:manualLayout>
              </c:layout>
              <c:tx>
                <c:rich>
                  <a:bodyPr/>
                  <a:lstStyle/>
                  <a:p>
                    <a:fld id="{7C8AA82A-C792-4F3C-B206-CFD1A596D94C}" type="CELLRANGE">
                      <a:rPr lang="en-US" baseline="0"/>
                      <a:pPr/>
                      <a:t>[CELLRANGE]</a:t>
                    </a:fld>
                    <a:r>
                      <a:rPr lang="en-US" baseline="0"/>
                      <a:t>, </a:t>
                    </a:r>
                    <a:fld id="{BD5CED0A-4CA1-4B80-AE66-C0F49619218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6-2874-41B6-9BFD-9CD7D514FE83}"/>
                </c:ext>
              </c:extLst>
            </c:dLbl>
            <c:dLbl>
              <c:idx val="21"/>
              <c:layout>
                <c:manualLayout>
                  <c:x val="-6.7621315734395129E-2"/>
                  <c:y val="3.8478291556916067E-2"/>
                </c:manualLayout>
              </c:layout>
              <c:tx>
                <c:rich>
                  <a:bodyPr/>
                  <a:lstStyle/>
                  <a:p>
                    <a:fld id="{5CE5498C-AF89-447E-8F49-7A1BC959A833}" type="CELLRANGE">
                      <a:rPr lang="en-US" baseline="0"/>
                      <a:pPr/>
                      <a:t>[CELLRANGE]</a:t>
                    </a:fld>
                    <a:r>
                      <a:rPr lang="en-US" baseline="0"/>
                      <a:t>, </a:t>
                    </a:r>
                    <a:fld id="{BEEDC862-5ED2-4320-8BAF-11144FA1CA1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7-2874-41B6-9BFD-9CD7D514FE83}"/>
                </c:ext>
              </c:extLst>
            </c:dLbl>
            <c:dLbl>
              <c:idx val="22"/>
              <c:layout>
                <c:manualLayout>
                  <c:x val="-0.10458086475852366"/>
                  <c:y val="0.15120897057070593"/>
                </c:manualLayout>
              </c:layout>
              <c:tx>
                <c:rich>
                  <a:bodyPr/>
                  <a:lstStyle/>
                  <a:p>
                    <a:fld id="{09F370A7-E64C-42E2-9214-2D394FE898AD}" type="CELLRANGE">
                      <a:rPr lang="en-US" baseline="0"/>
                      <a:pPr/>
                      <a:t>[CELLRANGE]</a:t>
                    </a:fld>
                    <a:r>
                      <a:rPr lang="en-US" baseline="0"/>
                      <a:t>, </a:t>
                    </a:r>
                    <a:fld id="{E5445AED-726A-40C5-A9CB-4C6CDE6220D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8-2874-41B6-9BFD-9CD7D514FE83}"/>
                </c:ext>
              </c:extLst>
            </c:dLbl>
            <c:dLbl>
              <c:idx val="23"/>
              <c:layout>
                <c:manualLayout>
                  <c:x val="-1.8556759856087759E-2"/>
                  <c:y val="-0.16956287103714465"/>
                </c:manualLayout>
              </c:layout>
              <c:tx>
                <c:rich>
                  <a:bodyPr/>
                  <a:lstStyle/>
                  <a:p>
                    <a:endParaRPr lang="en-US" baseline="0"/>
                  </a:p>
                </c:rich>
              </c:tx>
              <c:dLblPos val="r"/>
              <c:showLegendKey val="0"/>
              <c:showVal val="0"/>
              <c:showCatName val="0"/>
              <c:showSerName val="0"/>
              <c:showPercent val="0"/>
              <c:showBubbleSize val="1"/>
              <c:extLst>
                <c:ext xmlns:c15="http://schemas.microsoft.com/office/drawing/2012/chart" uri="{CE6537A1-D6FC-4f65-9D91-7224C49458BB}">
                  <c15:showDataLabelsRange val="1"/>
                </c:ext>
                <c:ext xmlns:c16="http://schemas.microsoft.com/office/drawing/2014/chart" uri="{C3380CC4-5D6E-409C-BE32-E72D297353CC}">
                  <c16:uniqueId val="{00000019-2874-41B6-9BFD-9CD7D514FE83}"/>
                </c:ext>
              </c:extLst>
            </c:dLbl>
            <c:dLbl>
              <c:idx val="24"/>
              <c:layout>
                <c:manualLayout>
                  <c:x val="1.5367655966081162E-2"/>
                  <c:y val="2.4211851796776773E-2"/>
                </c:manualLayout>
              </c:layout>
              <c:tx>
                <c:rich>
                  <a:bodyPr/>
                  <a:lstStyle/>
                  <a:p>
                    <a:fld id="{9D1D281F-72A6-4969-97F4-7C108EAB8286}" type="CELLRANGE">
                      <a:rPr lang="en-US" baseline="0"/>
                      <a:pPr/>
                      <a:t>[CELLRANGE]</a:t>
                    </a:fld>
                    <a:r>
                      <a:rPr lang="en-US" baseline="0"/>
                      <a:t>, </a:t>
                    </a:r>
                    <a:fld id="{D12CAFF8-09C9-4541-A3DB-431BB2BE9CA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A-2874-41B6-9BFD-9CD7D514FE83}"/>
                </c:ext>
              </c:extLst>
            </c:dLbl>
            <c:dLbl>
              <c:idx val="25"/>
              <c:layout>
                <c:manualLayout>
                  <c:x val="-3.9318892815609983E-2"/>
                  <c:y val="-9.5834548804986541E-2"/>
                </c:manualLayout>
              </c:layout>
              <c:tx>
                <c:rich>
                  <a:bodyPr/>
                  <a:lstStyle/>
                  <a:p>
                    <a:fld id="{94F0FDBD-4B24-422D-878E-E77A0616F4DE}" type="CELLRANGE">
                      <a:rPr lang="en-US" baseline="0"/>
                      <a:pPr/>
                      <a:t>[CELLRANGE]</a:t>
                    </a:fld>
                    <a:r>
                      <a:rPr lang="en-US" baseline="0"/>
                      <a:t>, </a:t>
                    </a:r>
                    <a:fld id="{EB95F5F0-29C9-4B8C-90FC-34C6F08FFE0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B-2874-41B6-9BFD-9CD7D514FE83}"/>
                </c:ext>
              </c:extLst>
            </c:dLbl>
            <c:dLbl>
              <c:idx val="26"/>
              <c:layout>
                <c:manualLayout>
                  <c:x val="-0.10765692881957038"/>
                  <c:y val="0.18674116572922159"/>
                </c:manualLayout>
              </c:layout>
              <c:tx>
                <c:rich>
                  <a:bodyPr/>
                  <a:lstStyle/>
                  <a:p>
                    <a:fld id="{C6D6E960-B246-46D9-B2FC-C4EBEE5EB291}" type="CELLRANGE">
                      <a:rPr lang="en-US" baseline="0"/>
                      <a:pPr/>
                      <a:t>[CELLRANGE]</a:t>
                    </a:fld>
                    <a:r>
                      <a:rPr lang="en-US" baseline="0"/>
                      <a:t>, </a:t>
                    </a:r>
                    <a:fld id="{0E5E4F4D-EE9C-4E65-9EEC-D1EA5881F14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C-2874-41B6-9BFD-9CD7D514FE83}"/>
                </c:ext>
              </c:extLst>
            </c:dLbl>
            <c:dLbl>
              <c:idx val="27"/>
              <c:layout>
                <c:manualLayout>
                  <c:x val="-0.10541309192084729"/>
                  <c:y val="9.104777873848445E-2"/>
                </c:manualLayout>
              </c:layout>
              <c:tx>
                <c:rich>
                  <a:bodyPr/>
                  <a:lstStyle/>
                  <a:p>
                    <a:fld id="{0F30B6BA-9F8F-4810-B5E8-BC094240DB91}" type="CELLRANGE">
                      <a:rPr lang="en-US" baseline="0"/>
                      <a:pPr/>
                      <a:t>[CELLRANGE]</a:t>
                    </a:fld>
                    <a:r>
                      <a:rPr lang="en-US" baseline="0"/>
                      <a:t>, </a:t>
                    </a:r>
                    <a:fld id="{9B84A65D-836E-4C31-8568-7C1F477FD96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D-2874-41B6-9BFD-9CD7D514FE83}"/>
                </c:ext>
              </c:extLst>
            </c:dLbl>
            <c:dLbl>
              <c:idx val="28"/>
              <c:layout>
                <c:manualLayout>
                  <c:x val="-5.2095687758071274E-2"/>
                  <c:y val="0.1758395586966579"/>
                </c:manualLayout>
              </c:layout>
              <c:tx>
                <c:rich>
                  <a:bodyPr/>
                  <a:lstStyle/>
                  <a:p>
                    <a:fld id="{D01A3109-1F7C-45BB-98D6-1E902C63C1C7}" type="CELLRANGE">
                      <a:rPr lang="en-US" baseline="0"/>
                      <a:pPr/>
                      <a:t>[CELLRANGE]</a:t>
                    </a:fld>
                    <a:r>
                      <a:rPr lang="en-US" baseline="0"/>
                      <a:t>, </a:t>
                    </a:r>
                    <a:fld id="{7BCB2073-3345-4679-9E9F-32CDB8CB7B4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E-2874-41B6-9BFD-9CD7D514FE83}"/>
                </c:ext>
              </c:extLst>
            </c:dLbl>
            <c:dLbl>
              <c:idx val="29"/>
              <c:layout>
                <c:manualLayout>
                  <c:x val="3.5185016630682422E-2"/>
                  <c:y val="0.15070050157800433"/>
                </c:manualLayout>
              </c:layout>
              <c:tx>
                <c:rich>
                  <a:bodyPr/>
                  <a:lstStyle/>
                  <a:p>
                    <a:fld id="{9408885E-7EFA-4C58-BC3F-FBC62A72B77F}" type="CELLRANGE">
                      <a:rPr lang="en-US" baseline="0"/>
                      <a:pPr/>
                      <a:t>[CELLRANGE]</a:t>
                    </a:fld>
                    <a:r>
                      <a:rPr lang="en-US" baseline="0"/>
                      <a:t>, </a:t>
                    </a:r>
                    <a:fld id="{1F071979-2E57-4763-AF1F-6D8B28ED53F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1F-2874-41B6-9BFD-9CD7D514FE83}"/>
                </c:ext>
              </c:extLst>
            </c:dLbl>
            <c:dLbl>
              <c:idx val="30"/>
              <c:layout>
                <c:manualLayout>
                  <c:x val="-0.1003713315588395"/>
                  <c:y val="0.15956568631616841"/>
                </c:manualLayout>
              </c:layout>
              <c:tx>
                <c:rich>
                  <a:bodyPr/>
                  <a:lstStyle/>
                  <a:p>
                    <a:fld id="{3DBBB2C4-48E1-43D2-9D07-6E8E9D15D427}" type="CELLRANGE">
                      <a:rPr lang="en-US" baseline="0"/>
                      <a:pPr/>
                      <a:t>[CELLRANGE]</a:t>
                    </a:fld>
                    <a:r>
                      <a:rPr lang="en-US" baseline="0"/>
                      <a:t>, </a:t>
                    </a:r>
                    <a:fld id="{31BE240B-1FD5-4656-A1EA-AB517F2C7E3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0-2874-41B6-9BFD-9CD7D514FE83}"/>
                </c:ext>
              </c:extLst>
            </c:dLbl>
            <c:dLbl>
              <c:idx val="31"/>
              <c:layout>
                <c:manualLayout>
                  <c:x val="-8.2595483256900665E-2"/>
                  <c:y val="-2.7238333271373927E-2"/>
                </c:manualLayout>
              </c:layout>
              <c:tx>
                <c:rich>
                  <a:bodyPr/>
                  <a:lstStyle/>
                  <a:p>
                    <a:fld id="{F0A7EF68-68EB-4D73-A33B-F0191187779E}" type="CELLRANGE">
                      <a:rPr lang="en-US" baseline="0"/>
                      <a:pPr/>
                      <a:t>[CELLRANGE]</a:t>
                    </a:fld>
                    <a:r>
                      <a:rPr lang="en-US" baseline="0"/>
                      <a:t>, </a:t>
                    </a:r>
                    <a:fld id="{9E507F94-BA57-4956-9BC1-EBFE218AD41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1-2874-41B6-9BFD-9CD7D514FE83}"/>
                </c:ext>
              </c:extLst>
            </c:dLbl>
            <c:dLbl>
              <c:idx val="32"/>
              <c:layout>
                <c:manualLayout>
                  <c:x val="-8.7520150177441691E-2"/>
                  <c:y val="-0.11525758689050761"/>
                </c:manualLayout>
              </c:layout>
              <c:tx>
                <c:rich>
                  <a:bodyPr/>
                  <a:lstStyle/>
                  <a:p>
                    <a:fld id="{5C5EF657-5613-4BAE-BE44-C97FF2609520}" type="CELLRANGE">
                      <a:rPr lang="en-US" baseline="0"/>
                      <a:pPr/>
                      <a:t>[CELLRANGE]</a:t>
                    </a:fld>
                    <a:r>
                      <a:rPr lang="en-US" baseline="0"/>
                      <a:t>, </a:t>
                    </a:r>
                    <a:fld id="{D2320B6F-E34F-4ED5-A8C2-FE3EA0B565A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2-2874-41B6-9BFD-9CD7D514FE83}"/>
                </c:ext>
              </c:extLst>
            </c:dLbl>
            <c:dLbl>
              <c:idx val="33"/>
              <c:layout>
                <c:manualLayout>
                  <c:x val="-6.1059484663687928E-2"/>
                  <c:y val="0.13432764086779345"/>
                </c:manualLayout>
              </c:layout>
              <c:tx>
                <c:rich>
                  <a:bodyPr/>
                  <a:lstStyle/>
                  <a:p>
                    <a:fld id="{DC1402A4-FC48-4916-94D5-C69350826199}" type="CELLRANGE">
                      <a:rPr lang="en-US" baseline="0"/>
                      <a:pPr/>
                      <a:t>[CELLRANGE]</a:t>
                    </a:fld>
                    <a:r>
                      <a:rPr lang="en-US" baseline="0"/>
                      <a:t>, </a:t>
                    </a:r>
                    <a:fld id="{6089472B-5C35-450C-A78C-03892351A6B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3-2874-41B6-9BFD-9CD7D514FE83}"/>
                </c:ext>
              </c:extLst>
            </c:dLbl>
            <c:dLbl>
              <c:idx val="34"/>
              <c:layout>
                <c:manualLayout>
                  <c:x val="-4.5485506619364888E-2"/>
                  <c:y val="-6.0529629491941961E-2"/>
                </c:manualLayout>
              </c:layout>
              <c:tx>
                <c:rich>
                  <a:bodyPr/>
                  <a:lstStyle/>
                  <a:p>
                    <a:fld id="{8B848AF5-D3DF-4A48-B3AD-53144E362134}" type="CELLRANGE">
                      <a:rPr lang="en-US" baseline="0"/>
                      <a:pPr/>
                      <a:t>[CELLRANGE]</a:t>
                    </a:fld>
                    <a:r>
                      <a:rPr lang="en-US" baseline="0"/>
                      <a:t>, </a:t>
                    </a:r>
                    <a:fld id="{3F8E894B-3BD1-4115-AE27-A0C9CAE2C4B7}"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4-2874-41B6-9BFD-9CD7D514FE83}"/>
                </c:ext>
              </c:extLst>
            </c:dLbl>
            <c:dLbl>
              <c:idx val="35"/>
              <c:layout>
                <c:manualLayout>
                  <c:x val="-8.8929449775985936E-2"/>
                  <c:y val="6.7629877224233484E-2"/>
                </c:manualLayout>
              </c:layout>
              <c:tx>
                <c:rich>
                  <a:bodyPr/>
                  <a:lstStyle/>
                  <a:p>
                    <a:fld id="{D75CCFFB-25EE-483B-B5D2-7CD83239A3B5}" type="CELLRANGE">
                      <a:rPr lang="en-US" baseline="0"/>
                      <a:pPr/>
                      <a:t>[CELLRANGE]</a:t>
                    </a:fld>
                    <a:r>
                      <a:rPr lang="en-US" baseline="0"/>
                      <a:t>, </a:t>
                    </a:r>
                    <a:fld id="{F3DA7BE2-EFC9-43A5-A9CF-65135975B4F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5-2874-41B6-9BFD-9CD7D514FE83}"/>
                </c:ext>
              </c:extLst>
            </c:dLbl>
            <c:dLbl>
              <c:idx val="36"/>
              <c:layout>
                <c:manualLayout>
                  <c:x val="-3.0551111107004199E-2"/>
                  <c:y val="0.19606612102134935"/>
                </c:manualLayout>
              </c:layout>
              <c:tx>
                <c:rich>
                  <a:bodyPr/>
                  <a:lstStyle/>
                  <a:p>
                    <a:fld id="{0C19C4DA-48AA-4E2B-8609-B714FC2D7CEE}" type="CELLRANGE">
                      <a:rPr lang="en-US" baseline="0"/>
                      <a:pPr/>
                      <a:t>[CELLRANGE]</a:t>
                    </a:fld>
                    <a:r>
                      <a:rPr lang="en-US" baseline="0"/>
                      <a:t>, </a:t>
                    </a:r>
                    <a:fld id="{CCC62E22-AAAC-4A69-B382-B8AEEDB07E9E}"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6-2874-41B6-9BFD-9CD7D514FE83}"/>
                </c:ext>
              </c:extLst>
            </c:dLbl>
            <c:dLbl>
              <c:idx val="37"/>
              <c:layout>
                <c:manualLayout>
                  <c:x val="-5.892306917523002E-2"/>
                  <c:y val="-5.6592041879384151E-2"/>
                </c:manualLayout>
              </c:layout>
              <c:tx>
                <c:rich>
                  <a:bodyPr/>
                  <a:lstStyle/>
                  <a:p>
                    <a:fld id="{9C49E993-E188-4B82-BEAE-0FF58276FD84}" type="CELLRANGE">
                      <a:rPr lang="en-US" baseline="0"/>
                      <a:pPr/>
                      <a:t>[CELLRANGE]</a:t>
                    </a:fld>
                    <a:r>
                      <a:rPr lang="en-US" baseline="0"/>
                      <a:t>, </a:t>
                    </a:r>
                    <a:fld id="{E6F34A5D-C515-4DFC-A06D-ABD676C7688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7-2874-41B6-9BFD-9CD7D514FE83}"/>
                </c:ext>
              </c:extLst>
            </c:dLbl>
            <c:dLbl>
              <c:idx val="38"/>
              <c:layout>
                <c:manualLayout>
                  <c:x val="-6.4603351640405843E-2"/>
                  <c:y val="-6.5455157729627858E-2"/>
                </c:manualLayout>
              </c:layout>
              <c:tx>
                <c:rich>
                  <a:bodyPr/>
                  <a:lstStyle/>
                  <a:p>
                    <a:fld id="{E970CB48-C48D-43C6-8C90-FCDF3E2C4314}" type="CELLRANGE">
                      <a:rPr lang="en-US" baseline="0"/>
                      <a:pPr/>
                      <a:t>[CELLRANGE]</a:t>
                    </a:fld>
                    <a:r>
                      <a:rPr lang="en-US" baseline="0"/>
                      <a:t>, </a:t>
                    </a:r>
                    <a:fld id="{370FFD01-CF31-4638-B235-3F692DB317B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8-2874-41B6-9BFD-9CD7D514FE83}"/>
                </c:ext>
              </c:extLst>
            </c:dLbl>
            <c:dLbl>
              <c:idx val="39"/>
              <c:layout>
                <c:manualLayout>
                  <c:x val="1.108600504626513E-2"/>
                  <c:y val="-0.16167054105716036"/>
                </c:manualLayout>
              </c:layout>
              <c:tx>
                <c:rich>
                  <a:bodyPr/>
                  <a:lstStyle/>
                  <a:p>
                    <a:fld id="{88D0B3B8-0661-41EB-83F7-89B65A7E9CE1}" type="CELLRANGE">
                      <a:rPr lang="en-US" baseline="0"/>
                      <a:pPr/>
                      <a:t>[CELLRANGE]</a:t>
                    </a:fld>
                    <a:r>
                      <a:rPr lang="en-US" baseline="0"/>
                      <a:t>, </a:t>
                    </a:r>
                    <a:fld id="{074549C5-357B-4B7B-976B-BBC1AEF95F7B}"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9-2874-41B6-9BFD-9CD7D514FE83}"/>
                </c:ext>
              </c:extLst>
            </c:dLbl>
            <c:dLbl>
              <c:idx val="40"/>
              <c:layout>
                <c:manualLayout>
                  <c:x val="-5.2555405191249384E-2"/>
                  <c:y val="0.11917415086871808"/>
                </c:manualLayout>
              </c:layout>
              <c:tx>
                <c:rich>
                  <a:bodyPr/>
                  <a:lstStyle/>
                  <a:p>
                    <a:fld id="{A44782C6-71BC-4578-A3EF-41632EA118C7}" type="CELLRANGE">
                      <a:rPr lang="en-US" baseline="0"/>
                      <a:pPr/>
                      <a:t>[CELLRANGE]</a:t>
                    </a:fld>
                    <a:r>
                      <a:rPr lang="en-US" baseline="0"/>
                      <a:t>, </a:t>
                    </a:r>
                    <a:fld id="{A296F630-06CB-4393-869A-9D016928885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A-2874-41B6-9BFD-9CD7D514FE83}"/>
                </c:ext>
              </c:extLst>
            </c:dLbl>
            <c:dLbl>
              <c:idx val="41"/>
              <c:layout>
                <c:manualLayout>
                  <c:x val="-9.7636590365893491E-2"/>
                  <c:y val="9.4993864155864291E-2"/>
                </c:manualLayout>
              </c:layout>
              <c:tx>
                <c:rich>
                  <a:bodyPr rot="0" spcFirstLastPara="1" vertOverflow="clip" horzOverflow="clip" vert="horz" wrap="none" lIns="38100" tIns="19050" rIns="38100" bIns="19050" anchor="ctr" anchorCtr="1">
                    <a:noAutofit/>
                  </a:bodyPr>
                  <a:lstStyle/>
                  <a:p>
                    <a:pPr>
                      <a:defRPr sz="600" b="0" i="0" u="none" strike="noStrike" kern="1200" baseline="0">
                        <a:solidFill>
                          <a:schemeClr val="tx1">
                            <a:lumMod val="75000"/>
                            <a:lumOff val="25000"/>
                          </a:schemeClr>
                        </a:solidFill>
                        <a:latin typeface="+mn-lt"/>
                        <a:ea typeface="+mn-ea"/>
                        <a:cs typeface="+mn-cs"/>
                      </a:defRPr>
                    </a:pPr>
                    <a:fld id="{22E9F146-13C9-40BA-A5BD-F727C939A074}" type="CELLRANGE">
                      <a:rPr lang="en-US" baseline="0"/>
                      <a:pPr>
                        <a:defRPr sz="600">
                          <a:solidFill>
                            <a:schemeClr val="tx1">
                              <a:lumMod val="75000"/>
                              <a:lumOff val="25000"/>
                            </a:schemeClr>
                          </a:solidFill>
                        </a:defRPr>
                      </a:pPr>
                      <a:t>[CELLRANGE]</a:t>
                    </a:fld>
                    <a:r>
                      <a:rPr lang="en-US" baseline="0"/>
                      <a:t>, </a:t>
                    </a:r>
                    <a:fld id="{39BE5091-CC86-4E6B-8967-2019E8010DAF}" type="BUBBLESIZE">
                      <a:rPr lang="en-US" baseline="0"/>
                      <a:pPr>
                        <a:defRPr sz="600">
                          <a:solidFill>
                            <a:schemeClr val="tx1">
                              <a:lumMod val="75000"/>
                              <a:lumOff val="25000"/>
                            </a:schemeClr>
                          </a:solidFill>
                        </a:defRPr>
                      </a:pPr>
                      <a:t>[BUBBLE SIZE]</a:t>
                    </a:fld>
                    <a:endParaRPr lang="en-US" baseline="0"/>
                  </a:p>
                </c:rich>
              </c:tx>
              <c:spPr>
                <a:noFill/>
                <a:ln>
                  <a:noFill/>
                </a:ln>
                <a:effectLst/>
              </c:spPr>
              <c:txPr>
                <a:bodyPr rot="0" spcFirstLastPara="1" vertOverflow="clip" horzOverflow="clip" vert="horz" wrap="none" lIns="38100" tIns="19050" rIns="38100" bIns="19050" anchor="ctr" anchorCtr="1">
                  <a:no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rect">
                      <a:avLst/>
                    </a:prstGeom>
                    <a:noFill/>
                    <a:ln>
                      <a:noFill/>
                    </a:ln>
                  </c15:spPr>
                  <c15:layout>
                    <c:manualLayout>
                      <c:w val="4.0690317556459285E-2"/>
                      <c:h val="3.7606772836590016E-2"/>
                    </c:manualLayout>
                  </c15:layout>
                  <c15:dlblFieldTable/>
                  <c15:showDataLabelsRange val="1"/>
                </c:ext>
                <c:ext xmlns:c16="http://schemas.microsoft.com/office/drawing/2014/chart" uri="{C3380CC4-5D6E-409C-BE32-E72D297353CC}">
                  <c16:uniqueId val="{0000002B-2874-41B6-9BFD-9CD7D514FE83}"/>
                </c:ext>
              </c:extLst>
            </c:dLbl>
            <c:dLbl>
              <c:idx val="42"/>
              <c:layout>
                <c:manualLayout>
                  <c:x val="-8.5177092857839198E-2"/>
                  <c:y val="0.13429613011331618"/>
                </c:manualLayout>
              </c:layout>
              <c:tx>
                <c:rich>
                  <a:bodyPr/>
                  <a:lstStyle/>
                  <a:p>
                    <a:fld id="{28FB1825-1FDC-47C3-926B-B91F66EE360C}" type="CELLRANGE">
                      <a:rPr lang="en-US" baseline="0"/>
                      <a:pPr/>
                      <a:t>[CELLRANGE]</a:t>
                    </a:fld>
                    <a:r>
                      <a:rPr lang="en-US" baseline="0"/>
                      <a:t>, </a:t>
                    </a:r>
                    <a:fld id="{E62F41AE-D465-434D-810E-15BFD0DC49A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C-2874-41B6-9BFD-9CD7D514FE83}"/>
                </c:ext>
              </c:extLst>
            </c:dLbl>
            <c:dLbl>
              <c:idx val="43"/>
              <c:layout>
                <c:manualLayout>
                  <c:x val="-0.12188114063518626"/>
                  <c:y val="-0.13003788133781932"/>
                </c:manualLayout>
              </c:layout>
              <c:tx>
                <c:rich>
                  <a:bodyPr/>
                  <a:lstStyle/>
                  <a:p>
                    <a:fld id="{723E7522-FAA0-4F79-B1D7-30CC44B15C58}" type="CELLRANGE">
                      <a:rPr lang="en-US" baseline="0"/>
                      <a:pPr/>
                      <a:t>[CELLRANGE]</a:t>
                    </a:fld>
                    <a:r>
                      <a:rPr lang="en-US" baseline="0"/>
                      <a:t>, </a:t>
                    </a:r>
                    <a:fld id="{DC839C02-ECB5-4DDE-AD1F-B1A7057F9826}"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D-2874-41B6-9BFD-9CD7D514FE83}"/>
                </c:ext>
              </c:extLst>
            </c:dLbl>
            <c:dLbl>
              <c:idx val="44"/>
              <c:layout>
                <c:manualLayout>
                  <c:x val="-0.11157249697718467"/>
                  <c:y val="7.1766379902886326E-2"/>
                </c:manualLayout>
              </c:layout>
              <c:tx>
                <c:rich>
                  <a:bodyPr/>
                  <a:lstStyle/>
                  <a:p>
                    <a:fld id="{14E6B3AF-1668-4319-918B-04E59EC8CC54}" type="CELLRANGE">
                      <a:rPr lang="en-US" baseline="0"/>
                      <a:pPr/>
                      <a:t>[CELLRANGE]</a:t>
                    </a:fld>
                    <a:r>
                      <a:rPr lang="en-US" baseline="0"/>
                      <a:t>, </a:t>
                    </a:r>
                    <a:fld id="{4BB6B9B3-A708-43DD-AEC1-E21ABAA7681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E-2874-41B6-9BFD-9CD7D514FE83}"/>
                </c:ext>
              </c:extLst>
            </c:dLbl>
            <c:dLbl>
              <c:idx val="45"/>
              <c:layout>
                <c:manualLayout>
                  <c:x val="4.309666125016344E-2"/>
                  <c:y val="2.020889720475736E-2"/>
                </c:manualLayout>
              </c:layout>
              <c:tx>
                <c:rich>
                  <a:bodyPr/>
                  <a:lstStyle/>
                  <a:p>
                    <a:fld id="{B36BA130-99ED-4F21-B111-A832A844842F}" type="CELLRANGE">
                      <a:rPr lang="en-US" baseline="0"/>
                      <a:pPr/>
                      <a:t>[CELLRANGE]</a:t>
                    </a:fld>
                    <a:r>
                      <a:rPr lang="en-US" baseline="0"/>
                      <a:t>, </a:t>
                    </a:r>
                    <a:fld id="{112D29C3-8839-4531-801A-5B90A7860FC9}"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2F-2874-41B6-9BFD-9CD7D514FE83}"/>
                </c:ext>
              </c:extLst>
            </c:dLbl>
            <c:dLbl>
              <c:idx val="46"/>
              <c:layout>
                <c:manualLayout>
                  <c:x val="-5.5593814005257002E-2"/>
                  <c:y val="-1.1198253731279225E-2"/>
                </c:manualLayout>
              </c:layout>
              <c:tx>
                <c:rich>
                  <a:bodyPr/>
                  <a:lstStyle/>
                  <a:p>
                    <a:fld id="{3B0DBAD2-2EDD-4012-B541-EA555DF1BE79}" type="CELLRANGE">
                      <a:rPr lang="en-US" baseline="0"/>
                      <a:pPr/>
                      <a:t>[CELLRANGE]</a:t>
                    </a:fld>
                    <a:r>
                      <a:rPr lang="en-US" baseline="0"/>
                      <a:t>, </a:t>
                    </a:r>
                    <a:fld id="{DAB67300-C718-46A9-A453-A455A7444013}"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0-2874-41B6-9BFD-9CD7D514FE83}"/>
                </c:ext>
              </c:extLst>
            </c:dLbl>
            <c:dLbl>
              <c:idx val="47"/>
              <c:layout>
                <c:manualLayout>
                  <c:x val="-2.3499877331679891E-2"/>
                  <c:y val="-5.8550323868489386E-2"/>
                </c:manualLayout>
              </c:layout>
              <c:tx>
                <c:rich>
                  <a:bodyPr/>
                  <a:lstStyle/>
                  <a:p>
                    <a:fld id="{54B03A6C-035B-4EDE-8F4B-7C50E594723F}" type="CELLRANGE">
                      <a:rPr lang="en-US" baseline="0"/>
                      <a:pPr/>
                      <a:t>[CELLRANGE]</a:t>
                    </a:fld>
                    <a:r>
                      <a:rPr lang="en-US" baseline="0"/>
                      <a:t>, </a:t>
                    </a:r>
                    <a:fld id="{CCA0E630-CB42-4FEC-8EFC-B9798F6BF5A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1-2874-41B6-9BFD-9CD7D514FE83}"/>
                </c:ext>
              </c:extLst>
            </c:dLbl>
            <c:dLbl>
              <c:idx val="48"/>
              <c:layout>
                <c:manualLayout>
                  <c:x val="5.0832504378866307E-2"/>
                  <c:y val="0.10619904070441481"/>
                </c:manualLayout>
              </c:layout>
              <c:tx>
                <c:rich>
                  <a:bodyPr/>
                  <a:lstStyle/>
                  <a:p>
                    <a:fld id="{EB83BFE9-2622-411D-BDC0-6102DF4D5374}" type="CELLRANGE">
                      <a:rPr lang="en-US" baseline="0"/>
                      <a:pPr/>
                      <a:t>[CELLRANGE]</a:t>
                    </a:fld>
                    <a:r>
                      <a:rPr lang="en-US" baseline="0"/>
                      <a:t>, </a:t>
                    </a:r>
                    <a:fld id="{51FFD523-5119-4A81-852E-70FC7FBAD5F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2-2874-41B6-9BFD-9CD7D514FE83}"/>
                </c:ext>
              </c:extLst>
            </c:dLbl>
            <c:dLbl>
              <c:idx val="49"/>
              <c:layout>
                <c:manualLayout>
                  <c:x val="-0.12758660360298341"/>
                  <c:y val="0.1261907046775487"/>
                </c:manualLayout>
              </c:layout>
              <c:tx>
                <c:rich>
                  <a:bodyPr/>
                  <a:lstStyle/>
                  <a:p>
                    <a:fld id="{CF89E023-FEE9-4C1D-A85C-782DD1825287}" type="CELLRANGE">
                      <a:rPr lang="en-US" baseline="0"/>
                      <a:pPr/>
                      <a:t>[CELLRANGE]</a:t>
                    </a:fld>
                    <a:r>
                      <a:rPr lang="en-US" baseline="0"/>
                      <a:t>, </a:t>
                    </a:r>
                    <a:fld id="{A799F14E-EB3A-46E1-8656-D7C655296052}"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3-2874-41B6-9BFD-9CD7D514FE83}"/>
                </c:ext>
              </c:extLst>
            </c:dLbl>
            <c:dLbl>
              <c:idx val="50"/>
              <c:layout>
                <c:manualLayout>
                  <c:x val="2.0364096207077062E-2"/>
                  <c:y val="0.18190299175516333"/>
                </c:manualLayout>
              </c:layout>
              <c:tx>
                <c:rich>
                  <a:bodyPr/>
                  <a:lstStyle/>
                  <a:p>
                    <a:fld id="{676D782E-456E-4708-8E47-408A66FF7365}" type="CELLRANGE">
                      <a:rPr lang="en-US" baseline="0"/>
                      <a:pPr/>
                      <a:t>[CELLRANGE]</a:t>
                    </a:fld>
                    <a:r>
                      <a:rPr lang="en-US" baseline="0"/>
                      <a:t>, </a:t>
                    </a:r>
                    <a:fld id="{8686F5F1-3EE6-4A91-9883-3C47510702CF}"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34-2874-41B6-9BFD-9CD7D514FE83}"/>
                </c:ext>
              </c:extLst>
            </c:dLbl>
            <c:spPr>
              <a:noFill/>
              <a:ln>
                <a:noFill/>
              </a:ln>
              <a:effectLst/>
            </c:spPr>
            <c:txPr>
              <a:bodyPr rot="0" spcFirstLastPara="1" vertOverflow="clip" horzOverflow="clip" vert="horz" wrap="non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1"/>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xVal>
            <c:numRef>
              <c:f>'Stratified Scenario Model'!$U$16:$U$66</c:f>
              <c:numCache>
                <c:formatCode>General</c:formatCode>
                <c:ptCount val="51"/>
                <c:pt idx="0">
                  <c:v>45</c:v>
                </c:pt>
                <c:pt idx="1">
                  <c:v>80</c:v>
                </c:pt>
                <c:pt idx="2">
                  <c:v>75</c:v>
                </c:pt>
                <c:pt idx="3">
                  <c:v>57.5</c:v>
                </c:pt>
                <c:pt idx="4">
                  <c:v>40</c:v>
                </c:pt>
                <c:pt idx="5">
                  <c:v>60</c:v>
                </c:pt>
                <c:pt idx="6">
                  <c:v>45</c:v>
                </c:pt>
                <c:pt idx="7">
                  <c:v>45</c:v>
                </c:pt>
                <c:pt idx="8">
                  <c:v>30</c:v>
                </c:pt>
                <c:pt idx="9">
                  <c:v>60</c:v>
                </c:pt>
                <c:pt idx="10">
                  <c:v>55</c:v>
                </c:pt>
                <c:pt idx="11">
                  <c:v>55</c:v>
                </c:pt>
                <c:pt idx="12">
                  <c:v>60</c:v>
                </c:pt>
                <c:pt idx="13">
                  <c:v>80</c:v>
                </c:pt>
                <c:pt idx="14">
                  <c:v>50</c:v>
                </c:pt>
                <c:pt idx="15">
                  <c:v>40</c:v>
                </c:pt>
                <c:pt idx="16">
                  <c:v>60</c:v>
                </c:pt>
                <c:pt idx="17">
                  <c:v>60</c:v>
                </c:pt>
                <c:pt idx="18">
                  <c:v>40</c:v>
                </c:pt>
                <c:pt idx="19">
                  <c:v>45</c:v>
                </c:pt>
                <c:pt idx="20">
                  <c:v>50</c:v>
                </c:pt>
                <c:pt idx="21">
                  <c:v>25</c:v>
                </c:pt>
                <c:pt idx="22">
                  <c:v>25</c:v>
                </c:pt>
                <c:pt idx="23">
                  <c:v>#N/A</c:v>
                </c:pt>
                <c:pt idx="24">
                  <c:v>75</c:v>
                </c:pt>
                <c:pt idx="25">
                  <c:v>85</c:v>
                </c:pt>
                <c:pt idx="26">
                  <c:v>50</c:v>
                </c:pt>
                <c:pt idx="27">
                  <c:v>30</c:v>
                </c:pt>
                <c:pt idx="28">
                  <c:v>60</c:v>
                </c:pt>
                <c:pt idx="29">
                  <c:v>60</c:v>
                </c:pt>
                <c:pt idx="30">
                  <c:v>45</c:v>
                </c:pt>
                <c:pt idx="31">
                  <c:v>25</c:v>
                </c:pt>
                <c:pt idx="32">
                  <c:v>30</c:v>
                </c:pt>
                <c:pt idx="33">
                  <c:v>60</c:v>
                </c:pt>
                <c:pt idx="34">
                  <c:v>25</c:v>
                </c:pt>
                <c:pt idx="35">
                  <c:v>30</c:v>
                </c:pt>
                <c:pt idx="36">
                  <c:v>60</c:v>
                </c:pt>
                <c:pt idx="37">
                  <c:v>60</c:v>
                </c:pt>
                <c:pt idx="38">
                  <c:v>30</c:v>
                </c:pt>
                <c:pt idx="39">
                  <c:v>50</c:v>
                </c:pt>
                <c:pt idx="40">
                  <c:v>55</c:v>
                </c:pt>
                <c:pt idx="41">
                  <c:v>60</c:v>
                </c:pt>
                <c:pt idx="42">
                  <c:v>40</c:v>
                </c:pt>
                <c:pt idx="43">
                  <c:v>55</c:v>
                </c:pt>
                <c:pt idx="44">
                  <c:v>60</c:v>
                </c:pt>
                <c:pt idx="45">
                  <c:v>50</c:v>
                </c:pt>
                <c:pt idx="46">
                  <c:v>22.5</c:v>
                </c:pt>
                <c:pt idx="47">
                  <c:v>60</c:v>
                </c:pt>
                <c:pt idx="48">
                  <c:v>40</c:v>
                </c:pt>
                <c:pt idx="49">
                  <c:v>30</c:v>
                </c:pt>
                <c:pt idx="50">
                  <c:v>50</c:v>
                </c:pt>
              </c:numCache>
            </c:numRef>
          </c:xVal>
          <c:yVal>
            <c:numRef>
              <c:f>'Stratified Scenario Model'!$G$16:$G$66</c:f>
              <c:numCache>
                <c:formatCode>#,##0</c:formatCode>
                <c:ptCount val="51"/>
                <c:pt idx="0">
                  <c:v>27</c:v>
                </c:pt>
                <c:pt idx="1">
                  <c:v>29</c:v>
                </c:pt>
                <c:pt idx="2">
                  <c:v>26</c:v>
                </c:pt>
                <c:pt idx="3">
                  <c:v>34</c:v>
                </c:pt>
                <c:pt idx="4">
                  <c:v>37</c:v>
                </c:pt>
                <c:pt idx="5">
                  <c:v>28</c:v>
                </c:pt>
                <c:pt idx="6">
                  <c:v>27</c:v>
                </c:pt>
                <c:pt idx="7">
                  <c:v>57</c:v>
                </c:pt>
                <c:pt idx="8">
                  <c:v>28</c:v>
                </c:pt>
                <c:pt idx="9">
                  <c:v>34</c:v>
                </c:pt>
                <c:pt idx="10">
                  <c:v>30</c:v>
                </c:pt>
                <c:pt idx="11">
                  <c:v>45</c:v>
                </c:pt>
                <c:pt idx="12">
                  <c:v>25</c:v>
                </c:pt>
                <c:pt idx="13">
                  <c:v>26</c:v>
                </c:pt>
                <c:pt idx="14">
                  <c:v>27</c:v>
                </c:pt>
                <c:pt idx="15">
                  <c:v>25</c:v>
                </c:pt>
                <c:pt idx="16">
                  <c:v>27</c:v>
                </c:pt>
                <c:pt idx="17">
                  <c:v>26</c:v>
                </c:pt>
                <c:pt idx="18">
                  <c:v>37</c:v>
                </c:pt>
                <c:pt idx="19">
                  <c:v>30</c:v>
                </c:pt>
                <c:pt idx="20">
                  <c:v>33</c:v>
                </c:pt>
                <c:pt idx="21">
                  <c:v>24</c:v>
                </c:pt>
                <c:pt idx="22">
                  <c:v>26</c:v>
                </c:pt>
                <c:pt idx="23">
                  <c:v>29</c:v>
                </c:pt>
                <c:pt idx="24">
                  <c:v>26</c:v>
                </c:pt>
                <c:pt idx="25">
                  <c:v>30</c:v>
                </c:pt>
                <c:pt idx="26">
                  <c:v>26</c:v>
                </c:pt>
                <c:pt idx="27">
                  <c:v>27</c:v>
                </c:pt>
                <c:pt idx="28">
                  <c:v>26</c:v>
                </c:pt>
                <c:pt idx="29">
                  <c:v>25</c:v>
                </c:pt>
                <c:pt idx="30">
                  <c:v>24</c:v>
                </c:pt>
                <c:pt idx="31">
                  <c:v>32</c:v>
                </c:pt>
                <c:pt idx="32">
                  <c:v>32</c:v>
                </c:pt>
                <c:pt idx="33">
                  <c:v>34</c:v>
                </c:pt>
                <c:pt idx="34">
                  <c:v>39</c:v>
                </c:pt>
                <c:pt idx="35">
                  <c:v>26</c:v>
                </c:pt>
                <c:pt idx="36">
                  <c:v>26</c:v>
                </c:pt>
                <c:pt idx="37">
                  <c:v>30</c:v>
                </c:pt>
                <c:pt idx="38">
                  <c:v>28</c:v>
                </c:pt>
                <c:pt idx="39">
                  <c:v>26</c:v>
                </c:pt>
                <c:pt idx="40">
                  <c:v>28</c:v>
                </c:pt>
                <c:pt idx="41">
                  <c:v>25</c:v>
                </c:pt>
                <c:pt idx="42">
                  <c:v>26</c:v>
                </c:pt>
                <c:pt idx="43">
                  <c:v>36</c:v>
                </c:pt>
                <c:pt idx="44">
                  <c:v>28</c:v>
                </c:pt>
                <c:pt idx="45">
                  <c:v>30</c:v>
                </c:pt>
                <c:pt idx="46">
                  <c:v>25</c:v>
                </c:pt>
                <c:pt idx="47">
                  <c:v>30</c:v>
                </c:pt>
                <c:pt idx="48">
                  <c:v>26</c:v>
                </c:pt>
                <c:pt idx="49">
                  <c:v>26</c:v>
                </c:pt>
                <c:pt idx="50">
                  <c:v>26</c:v>
                </c:pt>
              </c:numCache>
            </c:numRef>
          </c:yVal>
          <c:bubbleSize>
            <c:numRef>
              <c:f>'Stratified Scenario Model'!$Y$16:$Y$66</c:f>
              <c:numCache>
                <c:formatCode>0</c:formatCode>
                <c:ptCount val="51"/>
                <c:pt idx="0">
                  <c:v>1E-4</c:v>
                </c:pt>
                <c:pt idx="1">
                  <c:v>2.8960767337965017</c:v>
                </c:pt>
                <c:pt idx="2">
                  <c:v>2.2201574389854346</c:v>
                </c:pt>
                <c:pt idx="3">
                  <c:v>6.5258753706182011</c:v>
                </c:pt>
                <c:pt idx="4">
                  <c:v>2.3866032543904199</c:v>
                </c:pt>
                <c:pt idx="5">
                  <c:v>0.52094765240149921</c:v>
                </c:pt>
                <c:pt idx="6">
                  <c:v>0.53291642440005527</c:v>
                </c:pt>
                <c:pt idx="7">
                  <c:v>0.5667737396723197</c:v>
                </c:pt>
                <c:pt idx="8">
                  <c:v>0.61616572393310898</c:v>
                </c:pt>
                <c:pt idx="9">
                  <c:v>5.7268603298382876</c:v>
                </c:pt>
                <c:pt idx="10">
                  <c:v>3.1363542735369969</c:v>
                </c:pt>
                <c:pt idx="11" formatCode="0.000">
                  <c:v>1E-3</c:v>
                </c:pt>
                <c:pt idx="12">
                  <c:v>1.5530558751469854</c:v>
                </c:pt>
                <c:pt idx="13">
                  <c:v>2.8538413543995325</c:v>
                </c:pt>
                <c:pt idx="14">
                  <c:v>0.90752544563247861</c:v>
                </c:pt>
                <c:pt idx="15">
                  <c:v>1.0991918117934072</c:v>
                </c:pt>
                <c:pt idx="16">
                  <c:v>1.0297551173680557</c:v>
                </c:pt>
                <c:pt idx="17">
                  <c:v>0.78340558944219951</c:v>
                </c:pt>
                <c:pt idx="18">
                  <c:v>5.1196073648348364</c:v>
                </c:pt>
                <c:pt idx="19">
                  <c:v>1.624953953592766</c:v>
                </c:pt>
                <c:pt idx="20">
                  <c:v>1.2570959759696179</c:v>
                </c:pt>
                <c:pt idx="21">
                  <c:v>0.37196513645169066</c:v>
                </c:pt>
                <c:pt idx="22">
                  <c:v>0.58076329720151199</c:v>
                </c:pt>
                <c:pt idx="23">
                  <c:v>0.70926613651387183</c:v>
                </c:pt>
                <c:pt idx="24">
                  <c:v>0.87984738884105851</c:v>
                </c:pt>
                <c:pt idx="25">
                  <c:v>7.0560983337863803</c:v>
                </c:pt>
                <c:pt idx="26" formatCode="0.000">
                  <c:v>1.5906016029521566</c:v>
                </c:pt>
                <c:pt idx="27">
                  <c:v>1.8306489536124997</c:v>
                </c:pt>
                <c:pt idx="28">
                  <c:v>0.52489167548047277</c:v>
                </c:pt>
                <c:pt idx="29">
                  <c:v>0.82712643868304925</c:v>
                </c:pt>
                <c:pt idx="30">
                  <c:v>0.5883603206857928</c:v>
                </c:pt>
                <c:pt idx="31">
                  <c:v>0.47285635637157053</c:v>
                </c:pt>
                <c:pt idx="32">
                  <c:v>1.9076424448536338</c:v>
                </c:pt>
                <c:pt idx="33">
                  <c:v>3.5063159138692974</c:v>
                </c:pt>
                <c:pt idx="34">
                  <c:v>0.28272458703062131</c:v>
                </c:pt>
                <c:pt idx="35">
                  <c:v>1.668220821106843</c:v>
                </c:pt>
                <c:pt idx="36">
                  <c:v>1.3899520618169807</c:v>
                </c:pt>
                <c:pt idx="37">
                  <c:v>0.92466647398830226</c:v>
                </c:pt>
                <c:pt idx="38">
                  <c:v>0.67958189934392232</c:v>
                </c:pt>
                <c:pt idx="39">
                  <c:v>0.56637916630874652</c:v>
                </c:pt>
                <c:pt idx="40">
                  <c:v>5.5742074622905839</c:v>
                </c:pt>
                <c:pt idx="41">
                  <c:v>1.3564548600082065</c:v>
                </c:pt>
                <c:pt idx="42">
                  <c:v>1.6693087626702732</c:v>
                </c:pt>
                <c:pt idx="43">
                  <c:v>4.4937417145559397</c:v>
                </c:pt>
                <c:pt idx="44">
                  <c:v>1.02933350967168</c:v>
                </c:pt>
                <c:pt idx="45">
                  <c:v>1.5933418928597078</c:v>
                </c:pt>
                <c:pt idx="46">
                  <c:v>1E-4</c:v>
                </c:pt>
                <c:pt idx="47">
                  <c:v>1.2475552840991988</c:v>
                </c:pt>
                <c:pt idx="48">
                  <c:v>0.96179707661778568</c:v>
                </c:pt>
                <c:pt idx="49">
                  <c:v>0.61378893584064254</c:v>
                </c:pt>
                <c:pt idx="50">
                  <c:v>0.34556698038389039</c:v>
                </c:pt>
              </c:numCache>
            </c:numRef>
          </c:bubbleSize>
          <c:bubble3D val="0"/>
          <c:extLst>
            <c:ext xmlns:c15="http://schemas.microsoft.com/office/drawing/2012/chart" uri="{02D57815-91ED-43cb-92C2-25804820EDAC}">
              <c15:datalabelsRange>
                <c15:f>'Stratified Scenario Model'!$C$16:$C$66</c15:f>
                <c15:dlblRange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15:dlblRangeCache>
              </c15:datalabelsRange>
            </c:ext>
            <c:ext xmlns:c16="http://schemas.microsoft.com/office/drawing/2014/chart" uri="{C3380CC4-5D6E-409C-BE32-E72D297353CC}">
              <c16:uniqueId val="{00000000-2874-41B6-9BFD-9CD7D514FE83}"/>
            </c:ext>
          </c:extLst>
        </c:ser>
        <c:dLbls>
          <c:showLegendKey val="0"/>
          <c:showVal val="0"/>
          <c:showCatName val="0"/>
          <c:showSerName val="0"/>
          <c:showPercent val="0"/>
          <c:showBubbleSize val="0"/>
        </c:dLbls>
        <c:bubbleScale val="50"/>
        <c:showNegBubbles val="0"/>
        <c:axId val="590179784"/>
        <c:axId val="590186344"/>
      </c:bubbleChart>
      <c:valAx>
        <c:axId val="59017978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Outbreak Index</a:t>
                </a:r>
              </a:p>
              <a:p>
                <a:pPr>
                  <a:defRPr/>
                </a:pPr>
                <a:r>
                  <a:rPr lang="en-US"/>
                  <a:t>Effective</a:t>
                </a:r>
                <a:r>
                  <a:rPr lang="en-US" baseline="0"/>
                  <a:t> Rate of Transmission (Rt) + Test Positive Rate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86344"/>
        <c:crosses val="autoZero"/>
        <c:crossBetween val="midCat"/>
        <c:majorUnit val="50"/>
      </c:valAx>
      <c:valAx>
        <c:axId val="590186344"/>
        <c:scaling>
          <c:orientation val="minMax"/>
          <c:max val="6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Social Distancing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0179784"/>
        <c:crosses val="autoZero"/>
        <c:crossBetween val="midCat"/>
        <c:majorUnit val="50"/>
      </c:valAx>
      <c:spPr>
        <a:noFill/>
        <a:ln>
          <a:noFill/>
        </a:ln>
        <a:effectLst/>
      </c:spPr>
    </c:plotArea>
    <c:legend>
      <c:legendPos val="r"/>
      <c:layout>
        <c:manualLayout>
          <c:xMode val="edge"/>
          <c:yMode val="edge"/>
          <c:x val="0.63021597300337462"/>
          <c:y val="0.88505661665108148"/>
          <c:w val="0.26524617115168297"/>
          <c:h val="5.107223234226789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Tests per 100K Population and Test Positive Rates</a:t>
            </a:r>
          </a:p>
          <a:p>
            <a:pPr>
              <a:defRPr/>
            </a:pPr>
            <a:r>
              <a:rPr lang="en-US" baseline="0"/>
              <a:t> July 21 - July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'Stratified Scenario Model'!$Q$15</c:f>
              <c:strCache>
                <c:ptCount val="1"/>
                <c:pt idx="0">
                  <c:v>TPR Current</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'Stratified Scenario Model'!$C$16:$C$70</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'Stratified Scenario Model'!$S$16:$S$66</c:f>
              <c:numCache>
                <c:formatCode>0%</c:formatCode>
                <c:ptCount val="51"/>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val>
          <c:extLst>
            <c:ext xmlns:c16="http://schemas.microsoft.com/office/drawing/2014/chart" uri="{C3380CC4-5D6E-409C-BE32-E72D297353CC}">
              <c16:uniqueId val="{00000000-BE80-49CD-8DC8-88D6E526D522}"/>
            </c:ext>
          </c:extLst>
        </c:ser>
        <c:ser>
          <c:idx val="2"/>
          <c:order val="2"/>
          <c:tx>
            <c:strRef>
              <c:f>'Stratified Scenario Model'!$R$15</c:f>
              <c:strCache>
                <c:ptCount val="1"/>
                <c:pt idx="0">
                  <c:v>Change in Test Positive Rate</c:v>
                </c:pt>
              </c:strCache>
            </c:strRef>
          </c:tx>
          <c:spPr>
            <a:solidFill>
              <a:srgbClr val="FF0000"/>
            </a:solidFill>
            <a:ln>
              <a:noFill/>
            </a:ln>
            <a:effectLst/>
          </c:spPr>
          <c:invertIfNegative val="0"/>
          <c:cat>
            <c:strRef>
              <c:f>'Stratified Scenario Model'!$C$16:$C$66</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'Stratified Scenario Model'!$R$16:$R$66</c:f>
              <c:numCache>
                <c:formatCode>0%</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7208-453E-99B2-546B9003D4D5}"/>
            </c:ext>
          </c:extLst>
        </c:ser>
        <c:dLbls>
          <c:showLegendKey val="0"/>
          <c:showVal val="0"/>
          <c:showCatName val="0"/>
          <c:showSerName val="0"/>
          <c:showPercent val="0"/>
          <c:showBubbleSize val="0"/>
        </c:dLbls>
        <c:gapWidth val="150"/>
        <c:axId val="796879392"/>
        <c:axId val="796878736"/>
      </c:barChart>
      <c:lineChart>
        <c:grouping val="standard"/>
        <c:varyColors val="0"/>
        <c:ser>
          <c:idx val="1"/>
          <c:order val="1"/>
          <c:tx>
            <c:strRef>
              <c:f>'Stratified Scenario Model'!$AG$15</c:f>
              <c:strCache>
                <c:ptCount val="1"/>
                <c:pt idx="0">
                  <c:v>Tests per 100K Population</c:v>
                </c:pt>
              </c:strCache>
            </c:strRef>
          </c:tx>
          <c:spPr>
            <a:ln w="28575" cap="rnd">
              <a:solidFill>
                <a:schemeClr val="accent2"/>
              </a:solidFill>
              <a:round/>
            </a:ln>
            <a:effectLst/>
          </c:spPr>
          <c:marker>
            <c:symbol val="none"/>
          </c:marker>
          <c:cat>
            <c:strRef>
              <c:f>'Stratified Scenario Model'!$C$16:$C$66</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'Stratified Scenario Model'!$AG$16:$AG$66</c:f>
              <c:numCache>
                <c:formatCode>0</c:formatCode>
                <c:ptCount val="51"/>
                <c:pt idx="0">
                  <c:v>5254.495622278876</c:v>
                </c:pt>
                <c:pt idx="1">
                  <c:v>1143.9910996627702</c:v>
                </c:pt>
                <c:pt idx="2">
                  <c:v>1408.6070533407735</c:v>
                </c:pt>
                <c:pt idx="3">
                  <c:v>1182.6946974308796</c:v>
                </c:pt>
                <c:pt idx="4">
                  <c:v>2247.7044635023444</c:v>
                </c:pt>
                <c:pt idx="5">
                  <c:v>858.24389240972323</c:v>
                </c:pt>
                <c:pt idx="6">
                  <c:v>2359.7258790105816</c:v>
                </c:pt>
                <c:pt idx="7">
                  <c:v>3495.1519591242777</c:v>
                </c:pt>
                <c:pt idx="8">
                  <c:v>1499.3365949038987</c:v>
                </c:pt>
                <c:pt idx="9">
                  <c:v>1495.9723177539609</c:v>
                </c:pt>
                <c:pt idx="10">
                  <c:v>1821.8921860794283</c:v>
                </c:pt>
                <c:pt idx="11">
                  <c:v>929.74506170049267</c:v>
                </c:pt>
                <c:pt idx="12">
                  <c:v>1002.5134149163093</c:v>
                </c:pt>
                <c:pt idx="13">
                  <c:v>970.47393351668791</c:v>
                </c:pt>
                <c:pt idx="14">
                  <c:v>2088.9026131287678</c:v>
                </c:pt>
                <c:pt idx="15">
                  <c:v>1005.478282866318</c:v>
                </c:pt>
                <c:pt idx="16">
                  <c:v>786.14938176935266</c:v>
                </c:pt>
                <c:pt idx="17">
                  <c:v>1182.7857589398329</c:v>
                </c:pt>
                <c:pt idx="18">
                  <c:v>2880.0587851386831</c:v>
                </c:pt>
                <c:pt idx="19">
                  <c:v>1388.3925766880334</c:v>
                </c:pt>
                <c:pt idx="20">
                  <c:v>1738.7456828677666</c:v>
                </c:pt>
                <c:pt idx="21">
                  <c:v>1242.6611278578082</c:v>
                </c:pt>
                <c:pt idx="22">
                  <c:v>2266.3186225656382</c:v>
                </c:pt>
                <c:pt idx="23">
                  <c:v>-1750.5042882230614</c:v>
                </c:pt>
                <c:pt idx="24">
                  <c:v>1157.5532943115586</c:v>
                </c:pt>
                <c:pt idx="25">
                  <c:v>1180.0484451551317</c:v>
                </c:pt>
                <c:pt idx="26">
                  <c:v>1951.1067780212541</c:v>
                </c:pt>
                <c:pt idx="27">
                  <c:v>1925.365967702013</c:v>
                </c:pt>
                <c:pt idx="28">
                  <c:v>1362.7500124661774</c:v>
                </c:pt>
                <c:pt idx="29">
                  <c:v>1151.7218704637285</c:v>
                </c:pt>
                <c:pt idx="30">
                  <c:v>662.86144629263129</c:v>
                </c:pt>
                <c:pt idx="31">
                  <c:v>2034.8472617676496</c:v>
                </c:pt>
                <c:pt idx="32">
                  <c:v>2553.1409571309819</c:v>
                </c:pt>
                <c:pt idx="33">
                  <c:v>1304.7066447283839</c:v>
                </c:pt>
                <c:pt idx="34">
                  <c:v>2342.1161811968514</c:v>
                </c:pt>
                <c:pt idx="35">
                  <c:v>1637.8078722912801</c:v>
                </c:pt>
                <c:pt idx="36">
                  <c:v>1762.6866610849561</c:v>
                </c:pt>
                <c:pt idx="37">
                  <c:v>819.51529931809409</c:v>
                </c:pt>
                <c:pt idx="38">
                  <c:v>827.06679407395211</c:v>
                </c:pt>
                <c:pt idx="39">
                  <c:v>1269.4445047533372</c:v>
                </c:pt>
                <c:pt idx="40">
                  <c:v>1413.4403270408884</c:v>
                </c:pt>
                <c:pt idx="41">
                  <c:v>884.06945501034863</c:v>
                </c:pt>
                <c:pt idx="42">
                  <c:v>2388.0047572371122</c:v>
                </c:pt>
                <c:pt idx="43">
                  <c:v>1399.1780418742924</c:v>
                </c:pt>
                <c:pt idx="44">
                  <c:v>945.86391961466745</c:v>
                </c:pt>
                <c:pt idx="45">
                  <c:v>1357.820186446776</c:v>
                </c:pt>
                <c:pt idx="46">
                  <c:v>1061.0763971800784</c:v>
                </c:pt>
                <c:pt idx="47">
                  <c:v>1167.8824640083585</c:v>
                </c:pt>
                <c:pt idx="48">
                  <c:v>1608.433861165279</c:v>
                </c:pt>
                <c:pt idx="49">
                  <c:v>1618.8962177767785</c:v>
                </c:pt>
                <c:pt idx="50">
                  <c:v>1129.4856753847455</c:v>
                </c:pt>
              </c:numCache>
            </c:numRef>
          </c:val>
          <c:smooth val="0"/>
          <c:extLst>
            <c:ext xmlns:c16="http://schemas.microsoft.com/office/drawing/2014/chart" uri="{C3380CC4-5D6E-409C-BE32-E72D297353CC}">
              <c16:uniqueId val="{00000001-BE80-49CD-8DC8-88D6E526D522}"/>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Tests per 100K Population and Test Positive Rates (PepsiCo U.S. Locations)</a:t>
            </a:r>
          </a:p>
          <a:p>
            <a:pPr>
              <a:defRPr/>
            </a:pPr>
            <a:r>
              <a:rPr lang="en-US" baseline="0"/>
              <a:t> July 21 - 27,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'Stratified Scenario Model PEP'!$P$15</c:f>
              <c:strCache>
                <c:ptCount val="1"/>
                <c:pt idx="0">
                  <c:v>Test Positive Rate Current</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'Stratified Scenario Model PEP'!$A$16:$A$39</c15:sqref>
                  </c15:fullRef>
                </c:ext>
              </c:extLst>
              <c:f>'Stratified Scenario Model PEP'!$A$16:$A$39</c:f>
              <c:str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strCache>
            </c:strRef>
          </c:cat>
          <c:val>
            <c:numRef>
              <c:extLst>
                <c:ext xmlns:c15="http://schemas.microsoft.com/office/drawing/2012/chart" uri="{02D57815-91ED-43cb-92C2-25804820EDAC}">
                  <c15:fullRef>
                    <c15:sqref>'Stratified Scenario Model PEP'!$P$16:$P$40</c15:sqref>
                  </c15:fullRef>
                </c:ext>
              </c:extLst>
              <c:f>'Stratified Scenario Model PEP'!$P$16:$P$39</c:f>
              <c:numCache>
                <c:formatCode>General</c:formatCode>
                <c:ptCount val="24"/>
                <c:pt idx="0">
                  <c:v>0.12115081512150368</c:v>
                </c:pt>
                <c:pt idx="1">
                  <c:v>0.18202938955683337</c:v>
                </c:pt>
                <c:pt idx="2">
                  <c:v>6.1197948921201915E-2</c:v>
                </c:pt>
                <c:pt idx="3">
                  <c:v>6.8387827775979279E-2</c:v>
                </c:pt>
                <c:pt idx="4">
                  <c:v>1.2825236833034197E-2</c:v>
                </c:pt>
                <c:pt idx="5">
                  <c:v>0.18405482709359761</c:v>
                </c:pt>
                <c:pt idx="6">
                  <c:v>0.1271311738127979</c:v>
                </c:pt>
                <c:pt idx="7">
                  <c:v>0.10392032880177048</c:v>
                </c:pt>
                <c:pt idx="8">
                  <c:v>4.013947760122704E-2</c:v>
                </c:pt>
                <c:pt idx="9">
                  <c:v>8.1635667961767439E-2</c:v>
                </c:pt>
                <c:pt idx="10">
                  <c:v>0.11806313583373357</c:v>
                </c:pt>
                <c:pt idx="11">
                  <c:v>2.8538586133026803E-2</c:v>
                </c:pt>
                <c:pt idx="12">
                  <c:v>5.9627660080480219E-2</c:v>
                </c:pt>
                <c:pt idx="13">
                  <c:v>0.13846348741624909</c:v>
                </c:pt>
                <c:pt idx="14">
                  <c:v>6.0386066734675684E-2</c:v>
                </c:pt>
                <c:pt idx="15">
                  <c:v>9.8743484224965705E-3</c:v>
                </c:pt>
                <c:pt idx="16">
                  <c:v>4.5893076340463315E-2</c:v>
                </c:pt>
                <c:pt idx="17">
                  <c:v>5.5637933151368044E-2</c:v>
                </c:pt>
                <c:pt idx="18">
                  <c:v>8.6748302990538442E-2</c:v>
                </c:pt>
                <c:pt idx="19">
                  <c:v>0.13825596986965866</c:v>
                </c:pt>
                <c:pt idx="20">
                  <c:v>0.10288880094974277</c:v>
                </c:pt>
                <c:pt idx="21">
                  <c:v>6.0691821186053131E-2</c:v>
                </c:pt>
                <c:pt idx="22">
                  <c:v>6.227159771963163E-2</c:v>
                </c:pt>
                <c:pt idx="23">
                  <c:v>6.5349706353443671E-2</c:v>
                </c:pt>
              </c:numCache>
            </c:numRef>
          </c:val>
          <c:extLst>
            <c:ext xmlns:c16="http://schemas.microsoft.com/office/drawing/2014/chart" uri="{C3380CC4-5D6E-409C-BE32-E72D297353CC}">
              <c16:uniqueId val="{00000000-8F3C-46B7-B980-0F9B84EE3624}"/>
            </c:ext>
          </c:extLst>
        </c:ser>
        <c:ser>
          <c:idx val="2"/>
          <c:order val="2"/>
          <c:tx>
            <c:strRef>
              <c:f>'Stratified Scenario Model PEP'!$Q$15</c:f>
              <c:strCache>
                <c:ptCount val="1"/>
                <c:pt idx="0">
                  <c:v>Change in Test Positive Rate</c:v>
                </c:pt>
              </c:strCache>
            </c:strRef>
          </c:tx>
          <c:spPr>
            <a:solidFill>
              <a:srgbClr val="FF0000"/>
            </a:solidFill>
            <a:ln>
              <a:noFill/>
            </a:ln>
            <a:effectLst/>
          </c:spPr>
          <c:invertIfNegative val="0"/>
          <c:cat>
            <c:strRef>
              <c:extLst>
                <c:ext xmlns:c15="http://schemas.microsoft.com/office/drawing/2012/chart" uri="{02D57815-91ED-43cb-92C2-25804820EDAC}">
                  <c15:fullRef>
                    <c15:sqref>'Stratified Scenario Model PEP'!$A$16:$A$39</c15:sqref>
                  </c15:fullRef>
                </c:ext>
              </c:extLst>
              <c:f>'Stratified Scenario Model PEP'!$A$16:$A$39</c:f>
              <c:str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strCache>
            </c:strRef>
          </c:cat>
          <c:val>
            <c:numRef>
              <c:extLst>
                <c:ext xmlns:c15="http://schemas.microsoft.com/office/drawing/2012/chart" uri="{02D57815-91ED-43cb-92C2-25804820EDAC}">
                  <c15:fullRef>
                    <c15:sqref>'Stratified Scenario Model PEP'!$Q$16:$Q$39</c15:sqref>
                  </c15:fullRef>
                </c:ext>
              </c:extLst>
              <c:f>'Stratified Scenario Model PEP'!$Q$16:$Q$39</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8F3C-46B7-B980-0F9B84EE3624}"/>
            </c:ext>
          </c:extLst>
        </c:ser>
        <c:dLbls>
          <c:showLegendKey val="0"/>
          <c:showVal val="0"/>
          <c:showCatName val="0"/>
          <c:showSerName val="0"/>
          <c:showPercent val="0"/>
          <c:showBubbleSize val="0"/>
        </c:dLbls>
        <c:gapWidth val="150"/>
        <c:axId val="796879392"/>
        <c:axId val="796878736"/>
      </c:barChart>
      <c:lineChart>
        <c:grouping val="standard"/>
        <c:varyColors val="0"/>
        <c:ser>
          <c:idx val="1"/>
          <c:order val="1"/>
          <c:tx>
            <c:strRef>
              <c:f>'Stratified Scenario Model PEP'!$AF$15</c:f>
              <c:strCache>
                <c:ptCount val="1"/>
                <c:pt idx="0">
                  <c:v>Tests per 100K Population</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'Stratified Scenario Model PEP'!$A$16:$A$39</c15:sqref>
                  </c15:fullRef>
                </c:ext>
              </c:extLst>
              <c:f>'Stratified Scenario Model PEP'!$A$16:$A$39</c:f>
              <c:strCache>
                <c:ptCount val="24"/>
                <c:pt idx="0">
                  <c:v>Jonesboro, AR† </c:v>
                </c:pt>
                <c:pt idx="1">
                  <c:v>Casa Grande, AZ* </c:v>
                </c:pt>
                <c:pt idx="2">
                  <c:v>Modesto, CA*
Rancho Cucamonga, CA
Bakersfield, CA </c:v>
                </c:pt>
                <c:pt idx="3">
                  <c:v>Denver, CO*</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strCache>
            </c:strRef>
          </c:cat>
          <c:val>
            <c:numRef>
              <c:extLst>
                <c:ext xmlns:c15="http://schemas.microsoft.com/office/drawing/2012/chart" uri="{02D57815-91ED-43cb-92C2-25804820EDAC}">
                  <c15:fullRef>
                    <c15:sqref>'Stratified Scenario Model PEP'!$AF$16:$AF$39</c15:sqref>
                  </c15:fullRef>
                </c:ext>
              </c:extLst>
              <c:f>'Stratified Scenario Model PEP'!$AF$16:$AF$39</c:f>
              <c:numCache>
                <c:formatCode>General</c:formatCode>
                <c:ptCount val="24"/>
                <c:pt idx="0">
                  <c:v>1408.6070533407735</c:v>
                </c:pt>
                <c:pt idx="1">
                  <c:v>1182.6946974308796</c:v>
                </c:pt>
                <c:pt idx="2">
                  <c:v>2247.7044635023444</c:v>
                </c:pt>
                <c:pt idx="3">
                  <c:v>858.24389240972323</c:v>
                </c:pt>
                <c:pt idx="4">
                  <c:v>2359.7258790105816</c:v>
                </c:pt>
                <c:pt idx="5">
                  <c:v>1495.9723177539609</c:v>
                </c:pt>
                <c:pt idx="6">
                  <c:v>1821.8921860794283</c:v>
                </c:pt>
                <c:pt idx="7">
                  <c:v>1002.5134149163093</c:v>
                </c:pt>
                <c:pt idx="8">
                  <c:v>2088.9026131287678</c:v>
                </c:pt>
                <c:pt idx="9">
                  <c:v>1005.478282866318</c:v>
                </c:pt>
                <c:pt idx="10">
                  <c:v>786.14938176935266</c:v>
                </c:pt>
                <c:pt idx="11">
                  <c:v>1388.3925766880334</c:v>
                </c:pt>
                <c:pt idx="12">
                  <c:v>1738.7456828677666</c:v>
                </c:pt>
                <c:pt idx="13">
                  <c:v>1157.5532943115586</c:v>
                </c:pt>
                <c:pt idx="14">
                  <c:v>1925.365967702013</c:v>
                </c:pt>
                <c:pt idx="15">
                  <c:v>2342.1161811968514</c:v>
                </c:pt>
                <c:pt idx="16">
                  <c:v>1637.8078722912801</c:v>
                </c:pt>
                <c:pt idx="17">
                  <c:v>827.06679407395211</c:v>
                </c:pt>
                <c:pt idx="18">
                  <c:v>2388.0047572371122</c:v>
                </c:pt>
                <c:pt idx="19">
                  <c:v>1399.1780418742924</c:v>
                </c:pt>
                <c:pt idx="20">
                  <c:v>945.86391961466745</c:v>
                </c:pt>
                <c:pt idx="21">
                  <c:v>1357.820186446776</c:v>
                </c:pt>
                <c:pt idx="22">
                  <c:v>1167.8824640083585</c:v>
                </c:pt>
                <c:pt idx="23">
                  <c:v>1608.433861165279</c:v>
                </c:pt>
              </c:numCache>
            </c:numRef>
          </c:val>
          <c:smooth val="0"/>
          <c:extLst>
            <c:ext xmlns:c16="http://schemas.microsoft.com/office/drawing/2014/chart" uri="{C3380CC4-5D6E-409C-BE32-E72D297353CC}">
              <c16:uniqueId val="{00000002-8F3C-46B7-B980-0F9B84EE3624}"/>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Tests per 100K Population and Test Positive Rates (Kerry U.S. Locations)</a:t>
            </a:r>
          </a:p>
          <a:p>
            <a:pPr>
              <a:defRPr/>
            </a:pPr>
            <a:r>
              <a:rPr lang="en-US" baseline="0"/>
              <a:t> July 21 - 27,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'Stratified Scenario Model Kerry'!$P$15</c:f>
              <c:strCache>
                <c:ptCount val="1"/>
                <c:pt idx="0">
                  <c:v>Test Positive Rate Current</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'Stratified Scenario Model Kerry'!$A$16:$A$38</c:f>
              <c:str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strCache>
            </c:strRef>
          </c:cat>
          <c:val>
            <c:numRef>
              <c:f>'Stratified Scenario Model Kerry'!$P$16:$P$37</c:f>
              <c:numCache>
                <c:formatCode>0</c:formatCode>
                <c:ptCount val="22"/>
                <c:pt idx="0">
                  <c:v>0.20584040504884832</c:v>
                </c:pt>
                <c:pt idx="1">
                  <c:v>0.12115081512150368</c:v>
                </c:pt>
                <c:pt idx="2">
                  <c:v>6.1197948921201915E-2</c:v>
                </c:pt>
                <c:pt idx="3">
                  <c:v>0.18405482709359761</c:v>
                </c:pt>
                <c:pt idx="4">
                  <c:v>0.1271311738127979</c:v>
                </c:pt>
                <c:pt idx="5">
                  <c:v>0.10392032880177048</c:v>
                </c:pt>
                <c:pt idx="6">
                  <c:v>4.013947760122704E-2</c:v>
                </c:pt>
                <c:pt idx="7">
                  <c:v>8.1635667961767439E-2</c:v>
                </c:pt>
                <c:pt idx="8">
                  <c:v>0.11806313583373357</c:v>
                </c:pt>
                <c:pt idx="9">
                  <c:v>5.9627660080480219E-2</c:v>
                </c:pt>
                <c:pt idx="10">
                  <c:v>8.2614942528735635E-3</c:v>
                </c:pt>
                <c:pt idx="11">
                  <c:v>-4.818581471201961E-2</c:v>
                </c:pt>
                <c:pt idx="12">
                  <c:v>0.13846348741624909</c:v>
                </c:pt>
                <c:pt idx="13">
                  <c:v>0.23257403189066059</c:v>
                </c:pt>
                <c:pt idx="14">
                  <c:v>1.5503018164314288E-2</c:v>
                </c:pt>
                <c:pt idx="15">
                  <c:v>9.8743484224965705E-3</c:v>
                </c:pt>
                <c:pt idx="16">
                  <c:v>4.5893076340463315E-2</c:v>
                </c:pt>
                <c:pt idx="17">
                  <c:v>8.6748302990538442E-2</c:v>
                </c:pt>
                <c:pt idx="18">
                  <c:v>0.13825596986965866</c:v>
                </c:pt>
                <c:pt idx="19">
                  <c:v>6.0691821186053131E-2</c:v>
                </c:pt>
                <c:pt idx="20">
                  <c:v>6.227159771963163E-2</c:v>
                </c:pt>
                <c:pt idx="21">
                  <c:v>6.5349706353443671E-2</c:v>
                </c:pt>
              </c:numCache>
            </c:numRef>
          </c:val>
          <c:extLst>
            <c:ext xmlns:c16="http://schemas.microsoft.com/office/drawing/2014/chart" uri="{C3380CC4-5D6E-409C-BE32-E72D297353CC}">
              <c16:uniqueId val="{00000000-7351-4275-9BEA-AFA8A2860D14}"/>
            </c:ext>
          </c:extLst>
        </c:ser>
        <c:ser>
          <c:idx val="2"/>
          <c:order val="2"/>
          <c:tx>
            <c:strRef>
              <c:f>'Stratified Scenario Model Kerry'!$Q$15</c:f>
              <c:strCache>
                <c:ptCount val="1"/>
                <c:pt idx="0">
                  <c:v>Change in Test Positive Rate</c:v>
                </c:pt>
              </c:strCache>
            </c:strRef>
          </c:tx>
          <c:spPr>
            <a:solidFill>
              <a:srgbClr val="FF0000"/>
            </a:solidFill>
            <a:ln>
              <a:noFill/>
            </a:ln>
            <a:effectLst/>
          </c:spPr>
          <c:invertIfNegative val="0"/>
          <c:cat>
            <c:strRef>
              <c:f>'Stratified Scenario Model Kerry'!$A$16:$A$38</c:f>
              <c:str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strCache>
            </c:strRef>
          </c:cat>
          <c:val>
            <c:numRef>
              <c:f>'Stratified Scenario Model Kerry'!$Q$16:$Q$38</c:f>
              <c:numCache>
                <c:formatCode>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1-7351-4275-9BEA-AFA8A2860D14}"/>
            </c:ext>
          </c:extLst>
        </c:ser>
        <c:dLbls>
          <c:showLegendKey val="0"/>
          <c:showVal val="0"/>
          <c:showCatName val="0"/>
          <c:showSerName val="0"/>
          <c:showPercent val="0"/>
          <c:showBubbleSize val="0"/>
        </c:dLbls>
        <c:gapWidth val="150"/>
        <c:axId val="796879392"/>
        <c:axId val="796878736"/>
      </c:barChart>
      <c:lineChart>
        <c:grouping val="standard"/>
        <c:varyColors val="0"/>
        <c:ser>
          <c:idx val="1"/>
          <c:order val="1"/>
          <c:tx>
            <c:strRef>
              <c:f>'Stratified Scenario Model Kerry'!$AF$15</c:f>
              <c:strCache>
                <c:ptCount val="1"/>
                <c:pt idx="0">
                  <c:v>Tests per 100K Population</c:v>
                </c:pt>
              </c:strCache>
            </c:strRef>
          </c:tx>
          <c:spPr>
            <a:ln w="28575" cap="rnd">
              <a:solidFill>
                <a:schemeClr val="accent2"/>
              </a:solidFill>
              <a:round/>
            </a:ln>
            <a:effectLst/>
          </c:spPr>
          <c:marker>
            <c:symbol val="none"/>
          </c:marker>
          <c:cat>
            <c:strRef>
              <c:f>'Stratified Scenario Model Kerry'!$A$16:$A$38</c:f>
              <c:str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strCache>
            </c:strRef>
          </c:cat>
          <c:val>
            <c:numRef>
              <c:f>'Stratified Scenario Model Kerry'!$AF$16:$AF$37</c:f>
              <c:numCache>
                <c:formatCode>0</c:formatCode>
                <c:ptCount val="22"/>
                <c:pt idx="0">
                  <c:v>1143.9910996627702</c:v>
                </c:pt>
                <c:pt idx="1">
                  <c:v>1408.6070533407735</c:v>
                </c:pt>
                <c:pt idx="2">
                  <c:v>2247.7044635023444</c:v>
                </c:pt>
                <c:pt idx="3">
                  <c:v>1495.9723177539609</c:v>
                </c:pt>
                <c:pt idx="4">
                  <c:v>1821.8921860794283</c:v>
                </c:pt>
                <c:pt idx="5">
                  <c:v>1002.5134149163093</c:v>
                </c:pt>
                <c:pt idx="6">
                  <c:v>2088.9026131287678</c:v>
                </c:pt>
                <c:pt idx="7">
                  <c:v>1005.478282866318</c:v>
                </c:pt>
                <c:pt idx="8">
                  <c:v>786.14938176935266</c:v>
                </c:pt>
                <c:pt idx="9">
                  <c:v>1738.7456828677666</c:v>
                </c:pt>
                <c:pt idx="10">
                  <c:v>1242.6611278578082</c:v>
                </c:pt>
                <c:pt idx="11">
                  <c:v>-1750.5042882230614</c:v>
                </c:pt>
                <c:pt idx="12">
                  <c:v>1157.5532943115586</c:v>
                </c:pt>
                <c:pt idx="13">
                  <c:v>1180.0484451551317</c:v>
                </c:pt>
                <c:pt idx="14">
                  <c:v>2034.8472617676496</c:v>
                </c:pt>
                <c:pt idx="15">
                  <c:v>2342.1161811968514</c:v>
                </c:pt>
                <c:pt idx="16">
                  <c:v>1637.8078722912801</c:v>
                </c:pt>
                <c:pt idx="17">
                  <c:v>2388.0047572371122</c:v>
                </c:pt>
                <c:pt idx="18">
                  <c:v>1399.1780418742924</c:v>
                </c:pt>
                <c:pt idx="19">
                  <c:v>1357.820186446776</c:v>
                </c:pt>
                <c:pt idx="20">
                  <c:v>1167.8824640083585</c:v>
                </c:pt>
                <c:pt idx="21">
                  <c:v>1608.433861165279</c:v>
                </c:pt>
              </c:numCache>
            </c:numRef>
          </c:val>
          <c:smooth val="0"/>
          <c:extLst>
            <c:ext xmlns:c16="http://schemas.microsoft.com/office/drawing/2014/chart" uri="{C3380CC4-5D6E-409C-BE32-E72D297353CC}">
              <c16:uniqueId val="{00000002-7351-4275-9BEA-AFA8A2860D14}"/>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8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min val="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Positive Tests per 100K Population and Test Positive Rates</a:t>
            </a:r>
          </a:p>
          <a:p>
            <a:pPr>
              <a:defRPr/>
            </a:pPr>
            <a:r>
              <a:rPr lang="en-US" baseline="0"/>
              <a:t>July 07 - July 13, 2020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'Stratified Scenario Model'!$Q$15</c:f>
              <c:strCache>
                <c:ptCount val="1"/>
                <c:pt idx="0">
                  <c:v>TPR Current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'Stratified Scenario Model'!$C$16:$C$70</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'Stratified Scenario Model'!$S$16:$S$66</c:f>
              <c:numCache>
                <c:formatCode>0%</c:formatCode>
                <c:ptCount val="51"/>
                <c:pt idx="0">
                  <c:v>2.2321080152969641E-2</c:v>
                </c:pt>
                <c:pt idx="1">
                  <c:v>0.20584040504884832</c:v>
                </c:pt>
                <c:pt idx="2">
                  <c:v>0.12115081512150368</c:v>
                </c:pt>
                <c:pt idx="3">
                  <c:v>0.18202938955683337</c:v>
                </c:pt>
                <c:pt idx="4">
                  <c:v>6.1197948921201915E-2</c:v>
                </c:pt>
                <c:pt idx="5">
                  <c:v>6.8387827775979279E-2</c:v>
                </c:pt>
                <c:pt idx="6">
                  <c:v>1.2825236833034197E-2</c:v>
                </c:pt>
                <c:pt idx="7">
                  <c:v>1.8445696679774599E-2</c:v>
                </c:pt>
                <c:pt idx="8">
                  <c:v>4.4452054794520551E-2</c:v>
                </c:pt>
                <c:pt idx="9">
                  <c:v>0.18405482709359761</c:v>
                </c:pt>
                <c:pt idx="10">
                  <c:v>0.1271311738127979</c:v>
                </c:pt>
                <c:pt idx="11">
                  <c:v>4.2464296566393195E-2</c:v>
                </c:pt>
                <c:pt idx="12">
                  <c:v>0.10392032880177048</c:v>
                </c:pt>
                <c:pt idx="13">
                  <c:v>0.1826096984374099</c:v>
                </c:pt>
                <c:pt idx="14">
                  <c:v>4.013947760122704E-2</c:v>
                </c:pt>
                <c:pt idx="15">
                  <c:v>8.1635667961767439E-2</c:v>
                </c:pt>
                <c:pt idx="16">
                  <c:v>0.11806313583373357</c:v>
                </c:pt>
                <c:pt idx="17">
                  <c:v>7.3935999091648844E-2</c:v>
                </c:pt>
                <c:pt idx="18">
                  <c:v>8.162792782026769E-2</c:v>
                </c:pt>
                <c:pt idx="19">
                  <c:v>2.8538586133026803E-2</c:v>
                </c:pt>
                <c:pt idx="20">
                  <c:v>5.9627660080480219E-2</c:v>
                </c:pt>
                <c:pt idx="21">
                  <c:v>8.2614942528735635E-3</c:v>
                </c:pt>
                <c:pt idx="22">
                  <c:v>2.2979313757544161E-2</c:v>
                </c:pt>
                <c:pt idx="23">
                  <c:v>-4.818581471201961E-2</c:v>
                </c:pt>
                <c:pt idx="24">
                  <c:v>0.13846348741624909</c:v>
                </c:pt>
                <c:pt idx="25">
                  <c:v>0.23257403189066059</c:v>
                </c:pt>
                <c:pt idx="26">
                  <c:v>4.0857430585527266E-2</c:v>
                </c:pt>
                <c:pt idx="27">
                  <c:v>6.0386066734675684E-2</c:v>
                </c:pt>
                <c:pt idx="28">
                  <c:v>7.6937891189215207E-2</c:v>
                </c:pt>
                <c:pt idx="29">
                  <c:v>9.3541002738004406E-2</c:v>
                </c:pt>
                <c:pt idx="30">
                  <c:v>2.1968268057250637E-2</c:v>
                </c:pt>
                <c:pt idx="31">
                  <c:v>1.5503018164314288E-2</c:v>
                </c:pt>
                <c:pt idx="32">
                  <c:v>3.6873073690109275E-2</c:v>
                </c:pt>
                <c:pt idx="33">
                  <c:v>0.18334287207305844</c:v>
                </c:pt>
                <c:pt idx="34">
                  <c:v>9.8743484224965705E-3</c:v>
                </c:pt>
                <c:pt idx="35">
                  <c:v>4.5893076340463315E-2</c:v>
                </c:pt>
                <c:pt idx="36">
                  <c:v>8.4818420335775427E-2</c:v>
                </c:pt>
                <c:pt idx="37">
                  <c:v>6.5904817011427738E-2</c:v>
                </c:pt>
                <c:pt idx="38">
                  <c:v>5.5637933151368044E-2</c:v>
                </c:pt>
                <c:pt idx="39">
                  <c:v>5.4357525282569902E-2</c:v>
                </c:pt>
                <c:pt idx="40">
                  <c:v>0.14474949844724763</c:v>
                </c:pt>
                <c:pt idx="41">
                  <c:v>7.3647871116225547E-2</c:v>
                </c:pt>
                <c:pt idx="42">
                  <c:v>8.6748302990538442E-2</c:v>
                </c:pt>
                <c:pt idx="43">
                  <c:v>0.13825596986965866</c:v>
                </c:pt>
                <c:pt idx="44">
                  <c:v>0.10288880094974277</c:v>
                </c:pt>
                <c:pt idx="45">
                  <c:v>6.0691821186053131E-2</c:v>
                </c:pt>
                <c:pt idx="46">
                  <c:v>3.7758646730101193E-3</c:v>
                </c:pt>
                <c:pt idx="47">
                  <c:v>6.227159771963163E-2</c:v>
                </c:pt>
                <c:pt idx="48">
                  <c:v>6.5349706353443671E-2</c:v>
                </c:pt>
                <c:pt idx="49">
                  <c:v>3.1675455830145111E-2</c:v>
                </c:pt>
                <c:pt idx="50">
                  <c:v>5.0175921676610065E-2</c:v>
                </c:pt>
              </c:numCache>
            </c:numRef>
          </c:val>
          <c:extLst>
            <c:ext xmlns:c16="http://schemas.microsoft.com/office/drawing/2014/chart" uri="{C3380CC4-5D6E-409C-BE32-E72D297353CC}">
              <c16:uniqueId val="{00000000-84E1-464D-93E4-B603B13BB1A9}"/>
            </c:ext>
          </c:extLst>
        </c:ser>
        <c:dLbls>
          <c:showLegendKey val="0"/>
          <c:showVal val="0"/>
          <c:showCatName val="0"/>
          <c:showSerName val="0"/>
          <c:showPercent val="0"/>
          <c:showBubbleSize val="0"/>
        </c:dLbls>
        <c:gapWidth val="219"/>
        <c:overlap val="-27"/>
        <c:axId val="796879392"/>
        <c:axId val="796878736"/>
      </c:barChart>
      <c:lineChart>
        <c:grouping val="standard"/>
        <c:varyColors val="0"/>
        <c:ser>
          <c:idx val="1"/>
          <c:order val="1"/>
          <c:tx>
            <c:strRef>
              <c:f>'Stratified Scenario Model'!$P$15</c:f>
              <c:strCache>
                <c:ptCount val="1"/>
                <c:pt idx="0">
                  <c:v>Per Capita Positive Tests (July 07 - July 13) per 100K</c:v>
                </c:pt>
              </c:strCache>
            </c:strRef>
          </c:tx>
          <c:spPr>
            <a:ln w="28575" cap="rnd">
              <a:solidFill>
                <a:schemeClr val="accent2"/>
              </a:solidFill>
              <a:round/>
            </a:ln>
            <a:effectLst/>
          </c:spPr>
          <c:marker>
            <c:symbol val="none"/>
          </c:marker>
          <c:cat>
            <c:strRef>
              <c:f>'Stratified Scenario Model'!$C$16:$C$70</c:f>
              <c:strCache>
                <c:ptCount val="51"/>
                <c:pt idx="0">
                  <c:v>AK</c:v>
                </c:pt>
                <c:pt idx="1">
                  <c:v>AL†</c:v>
                </c:pt>
                <c:pt idx="2">
                  <c:v>AR†</c:v>
                </c:pt>
                <c:pt idx="3">
                  <c:v>AZ*</c:v>
                </c:pt>
                <c:pt idx="4">
                  <c:v>CA*</c:v>
                </c:pt>
                <c:pt idx="5">
                  <c:v>CO*</c:v>
                </c:pt>
                <c:pt idx="6">
                  <c:v>CT†</c:v>
                </c:pt>
                <c:pt idx="7">
                  <c:v>DC</c:v>
                </c:pt>
                <c:pt idx="8">
                  <c:v>DE†</c:v>
                </c:pt>
                <c:pt idx="9">
                  <c:v>FL*</c:v>
                </c:pt>
                <c:pt idx="10">
                  <c:v>GA</c:v>
                </c:pt>
                <c:pt idx="11">
                  <c:v>HI</c:v>
                </c:pt>
                <c:pt idx="12">
                  <c:v>IA</c:v>
                </c:pt>
                <c:pt idx="13">
                  <c:v>ID†</c:v>
                </c:pt>
                <c:pt idx="14">
                  <c:v>IL</c:v>
                </c:pt>
                <c:pt idx="15">
                  <c:v>IN†</c:v>
                </c:pt>
                <c:pt idx="16">
                  <c:v>KS</c:v>
                </c:pt>
                <c:pt idx="17">
                  <c:v>KY</c:v>
                </c:pt>
                <c:pt idx="18">
                  <c:v>LA*</c:v>
                </c:pt>
                <c:pt idx="19">
                  <c:v>MA</c:v>
                </c:pt>
                <c:pt idx="20">
                  <c:v>MD</c:v>
                </c:pt>
                <c:pt idx="21">
                  <c:v>ME</c:v>
                </c:pt>
                <c:pt idx="22">
                  <c:v>MI*</c:v>
                </c:pt>
                <c:pt idx="23">
                  <c:v>MN</c:v>
                </c:pt>
                <c:pt idx="24">
                  <c:v>MO</c:v>
                </c:pt>
                <c:pt idx="25">
                  <c:v>MS†</c:v>
                </c:pt>
                <c:pt idx="26">
                  <c:v>MT</c:v>
                </c:pt>
                <c:pt idx="27">
                  <c:v>NC†</c:v>
                </c:pt>
                <c:pt idx="28">
                  <c:v>ND</c:v>
                </c:pt>
                <c:pt idx="29">
                  <c:v>NE</c:v>
                </c:pt>
                <c:pt idx="30">
                  <c:v>NH</c:v>
                </c:pt>
                <c:pt idx="31">
                  <c:v>NJ†</c:v>
                </c:pt>
                <c:pt idx="32">
                  <c:v>NM*</c:v>
                </c:pt>
                <c:pt idx="33">
                  <c:v>NV*</c:v>
                </c:pt>
                <c:pt idx="34">
                  <c:v>NY</c:v>
                </c:pt>
                <c:pt idx="35">
                  <c:v>OH</c:v>
                </c:pt>
                <c:pt idx="36">
                  <c:v>OK</c:v>
                </c:pt>
                <c:pt idx="37">
                  <c:v>OR†</c:v>
                </c:pt>
                <c:pt idx="38">
                  <c:v>PA</c:v>
                </c:pt>
                <c:pt idx="39">
                  <c:v>RI</c:v>
                </c:pt>
                <c:pt idx="40">
                  <c:v>SC†</c:v>
                </c:pt>
                <c:pt idx="41">
                  <c:v>SD</c:v>
                </c:pt>
                <c:pt idx="42">
                  <c:v>TN</c:v>
                </c:pt>
                <c:pt idx="43">
                  <c:v>TX*</c:v>
                </c:pt>
                <c:pt idx="44">
                  <c:v>UT</c:v>
                </c:pt>
                <c:pt idx="45">
                  <c:v>VA</c:v>
                </c:pt>
                <c:pt idx="46">
                  <c:v>VT</c:v>
                </c:pt>
                <c:pt idx="47">
                  <c:v>WA†</c:v>
                </c:pt>
                <c:pt idx="48">
                  <c:v>WI</c:v>
                </c:pt>
                <c:pt idx="49">
                  <c:v>WV</c:v>
                </c:pt>
                <c:pt idx="50">
                  <c:v>WY†</c:v>
                </c:pt>
              </c:strCache>
            </c:strRef>
          </c:cat>
          <c:val>
            <c:numRef>
              <c:f>'Stratified Scenario Model'!$P$16:$P$66</c:f>
              <c:numCache>
                <c:formatCode>General</c:formatCode>
                <c:ptCount val="51"/>
                <c:pt idx="0">
                  <c:v>117.28601794831486</c:v>
                </c:pt>
                <c:pt idx="1">
                  <c:v>235.47959132686202</c:v>
                </c:pt>
                <c:pt idx="2">
                  <c:v>170.65389269813414</c:v>
                </c:pt>
                <c:pt idx="3">
                  <c:v>215.28519380544677</c:v>
                </c:pt>
                <c:pt idx="4">
                  <c:v>137.55490294737402</c:v>
                </c:pt>
                <c:pt idx="5">
                  <c:v>58.693435503902251</c:v>
                </c:pt>
                <c:pt idx="6">
                  <c:v>30.264043259350508</c:v>
                </c:pt>
                <c:pt idx="7">
                  <c:v>64.470512887726372</c:v>
                </c:pt>
                <c:pt idx="8">
                  <c:v>66.64859247209796</c:v>
                </c:pt>
                <c:pt idx="9">
                  <c:v>275.34092628101371</c:v>
                </c:pt>
                <c:pt idx="10">
                  <c:v>231.61929217664209</c:v>
                </c:pt>
                <c:pt idx="11">
                  <c:v>39.480970031189258</c:v>
                </c:pt>
                <c:pt idx="12">
                  <c:v>104.1815237062886</c:v>
                </c:pt>
                <c:pt idx="13">
                  <c:v>177.21795234084939</c:v>
                </c:pt>
                <c:pt idx="14">
                  <c:v>83.847459650826821</c:v>
                </c:pt>
                <c:pt idx="15">
                  <c:v>82.08289124284282</c:v>
                </c:pt>
                <c:pt idx="16">
                  <c:v>92.815261245440766</c:v>
                </c:pt>
                <c:pt idx="17">
                  <c:v>87.450446798590676</c:v>
                </c:pt>
                <c:pt idx="18">
                  <c:v>235.0932306314283</c:v>
                </c:pt>
                <c:pt idx="19">
                  <c:v>39.622761136266462</c:v>
                </c:pt>
                <c:pt idx="20">
                  <c:v>103.67733654444164</c:v>
                </c:pt>
                <c:pt idx="21">
                  <c:v>10.266237766066661</c:v>
                </c:pt>
                <c:pt idx="22">
                  <c:v>52.078446702501097</c:v>
                </c:pt>
                <c:pt idx="23">
                  <c:v>84.349475284912216</c:v>
                </c:pt>
                <c:pt idx="24">
                  <c:v>160.27886600054615</c:v>
                </c:pt>
                <c:pt idx="25">
                  <c:v>274.44862471603403</c:v>
                </c:pt>
                <c:pt idx="26">
                  <c:v>79.717209747955138</c:v>
                </c:pt>
                <c:pt idx="27">
                  <c:v>116.26527781432719</c:v>
                </c:pt>
                <c:pt idx="28">
                  <c:v>104.84711217722442</c:v>
                </c:pt>
                <c:pt idx="29">
                  <c:v>107.73321863846716</c:v>
                </c:pt>
                <c:pt idx="30">
                  <c:v>14.561917936973371</c:v>
                </c:pt>
                <c:pt idx="31">
                  <c:v>31.546274060789063</c:v>
                </c:pt>
                <c:pt idx="32">
                  <c:v>94.142154653526816</c:v>
                </c:pt>
                <c:pt idx="33">
                  <c:v>239.20866345730542</c:v>
                </c:pt>
                <c:pt idx="34">
                  <c:v>23.126871219104821</c:v>
                </c:pt>
                <c:pt idx="35">
                  <c:v>75.164041714075509</c:v>
                </c:pt>
                <c:pt idx="36">
                  <c:v>149.50829814016834</c:v>
                </c:pt>
                <c:pt idx="37">
                  <c:v>54.010005839624426</c:v>
                </c:pt>
                <c:pt idx="38">
                  <c:v>46.016287000402826</c:v>
                </c:pt>
                <c:pt idx="39">
                  <c:v>69.003861761948954</c:v>
                </c:pt>
                <c:pt idx="40">
                  <c:v>204.59477842428223</c:v>
                </c:pt>
                <c:pt idx="41">
                  <c:v>65.109833280393914</c:v>
                </c:pt>
                <c:pt idx="42">
                  <c:v>207.15536022365222</c:v>
                </c:pt>
                <c:pt idx="43">
                  <c:v>193.44471719966018</c:v>
                </c:pt>
                <c:pt idx="44">
                  <c:v>97.318804550777017</c:v>
                </c:pt>
                <c:pt idx="45">
                  <c:v>82.40857995864107</c:v>
                </c:pt>
                <c:pt idx="46">
                  <c:v>4.0064808834771126</c:v>
                </c:pt>
                <c:pt idx="47">
                  <c:v>72.725906982540664</c:v>
                </c:pt>
                <c:pt idx="48">
                  <c:v>105.11068051608657</c:v>
                </c:pt>
                <c:pt idx="49">
                  <c:v>51.279275639777318</c:v>
                </c:pt>
                <c:pt idx="50">
                  <c:v>56.672984782958018</c:v>
                </c:pt>
              </c:numCache>
            </c:numRef>
          </c:val>
          <c:smooth val="0"/>
          <c:extLst>
            <c:ext xmlns:c16="http://schemas.microsoft.com/office/drawing/2014/chart" uri="{C3380CC4-5D6E-409C-BE32-E72D297353CC}">
              <c16:uniqueId val="{00000001-84E1-464D-93E4-B603B13BB1A9}"/>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Positive Tests per 100,000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of total tests that are positive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Positive Tests per 100K Population and Test Positive Rates (PepsiCo US Locations)</a:t>
            </a:r>
          </a:p>
          <a:p>
            <a:pPr>
              <a:defRPr/>
            </a:pPr>
            <a:r>
              <a:rPr lang="en-US" baseline="0"/>
              <a:t>July 07 - July 13, 2020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796879392"/>
        <c:axId val="796878736"/>
        <c:extLst>
          <c:ext xmlns:c15="http://schemas.microsoft.com/office/drawing/2012/chart" uri="{02D57815-91ED-43cb-92C2-25804820EDAC}">
            <c15:filteredBarSeries>
              <c15:ser>
                <c:idx val="0"/>
                <c:order val="0"/>
                <c:tx>
                  <c:strRef>
                    <c:extLst>
                      <c:ext uri="{02D57815-91ED-43cb-92C2-25804820EDAC}">
                        <c15:formulaRef>
                          <c15:sqref>'Stratified Scenario Model'!$Q$15</c15:sqref>
                        </c15:formulaRef>
                      </c:ext>
                    </c:extLst>
                    <c:strCache>
                      <c:ptCount val="1"/>
                      <c:pt idx="0">
                        <c:v>TPR Current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'Stratified Scenario Model'!$B$16:$B$66</c15:sqref>
                        </c15:fullRef>
                        <c15:formulaRef>
                          <c15:sqref>('Stratified Scenario Model'!$B$18:$B$22,'Stratified Scenario Model'!$B$25:$B$26,'Stratified Scenario Model'!$B$28,'Stratified Scenario Model'!$B$30:$B$32,'Stratified Scenario Model'!$B$35:$B$36,'Stratified Scenario Model'!$B$40,'Stratified Scenario Model'!$B$43,'Stratified Scenario Model'!$B$50:$B$51,'Stratified Scenario Model'!$B$54,'Stratified Scenario Model'!$B$58:$B$61,'Stratified Scenario Model'!$B$63:$B$64,'Stratified Scenario Model'!$B$66)</c15:sqref>
                        </c15:formulaRef>
                      </c:ext>
                    </c:extLst>
                    <c:strCache>
                      <c:ptCount val="24"/>
                      <c:pt idx="2">
                        <c:v>Jonesboro, AR </c:v>
                      </c:pt>
                      <c:pt idx="3">
                        <c:v>Casa Grande, AZ </c:v>
                      </c:pt>
                      <c:pt idx="4">
                        <c:v>Modesto, CA
Rancho Cucamonga, CA
Bakersfield, CA </c:v>
                      </c:pt>
                      <c:pt idx="5">
                        <c:v>Denver, CO </c:v>
                      </c:pt>
                      <c:pt idx="6">
                        <c:v>Dayville, CT</c:v>
                      </c:pt>
                      <c:pt idx="9">
                        <c:v>Orlando, FL</c:v>
                      </c:pt>
                      <c:pt idx="10">
                        <c:v>Kathleen, GA </c:v>
                      </c:pt>
                      <c:pt idx="12">
                        <c:v>Cedar Rapids, IA</c:v>
                      </c:pt>
                      <c:pt idx="14">
                        <c:v>Bridgeview, IL
Danville, IL</c:v>
                      </c:pt>
                      <c:pt idx="15">
                        <c:v>Frankfort, IN</c:v>
                      </c:pt>
                      <c:pt idx="16">
                        <c:v>Topeka, KS </c:v>
                      </c:pt>
                      <c:pt idx="19">
                        <c:v>Randolph, MA </c:v>
                      </c:pt>
                      <c:pt idx="20">
                        <c:v>Aberdeen, MD</c:v>
                      </c:pt>
                      <c:pt idx="24">
                        <c:v>Columbia, MO</c:v>
                      </c:pt>
                      <c:pt idx="27">
                        <c:v>Charlotte, NC</c:v>
                      </c:pt>
                      <c:pt idx="34">
                        <c:v>Binghampton, NY </c:v>
                      </c:pt>
                      <c:pt idx="35">
                        <c:v>Canton, OH
Wooster, OH</c:v>
                      </c:pt>
                      <c:pt idx="38">
                        <c:v>Williamsport, PA
York, PA </c:v>
                      </c:pt>
                      <c:pt idx="42">
                        <c:v>Fayetteville, TN
Pulaski, TN </c:v>
                      </c:pt>
                      <c:pt idx="43">
                        <c:v>Arlington, TX
Irving, TX
Rosenberg, TX
San Antonia, TX</c:v>
                      </c:pt>
                      <c:pt idx="44">
                        <c:v>Salt Lake City, UT</c:v>
                      </c:pt>
                      <c:pt idx="45">
                        <c:v>Lynchburg, VA </c:v>
                      </c:pt>
                      <c:pt idx="47">
                        <c:v>Vancouver, WA</c:v>
                      </c:pt>
                      <c:pt idx="48">
                        <c:v>Beloit, WI</c:v>
                      </c:pt>
                    </c:strCache>
                  </c:strRef>
                </c:cat>
                <c:val>
                  <c:numRef>
                    <c:extLst>
                      <c:ext uri="{02D57815-91ED-43cb-92C2-25804820EDAC}">
                        <c15:formulaRef>
                          <c15:sqref>'Stratified Scenario Model'!#REF!</c15:sqref>
                        </c15:formulaRef>
                      </c:ext>
                    </c:extLst>
                  </c:numRef>
                </c:val>
                <c:extLst>
                  <c:ext xmlns:c16="http://schemas.microsoft.com/office/drawing/2014/chart" uri="{C3380CC4-5D6E-409C-BE32-E72D297353CC}">
                    <c16:uniqueId val="{00000000-6387-4C9C-AD5A-0397A5AC2ED4}"/>
                  </c:ext>
                </c:extLst>
              </c15:ser>
            </c15:filteredBarSeries>
          </c:ext>
        </c:extLst>
      </c:barChart>
      <c:lineChart>
        <c:grouping val="standard"/>
        <c:varyColors val="0"/>
        <c:ser>
          <c:idx val="1"/>
          <c:order val="1"/>
          <c:tx>
            <c:strRef>
              <c:f>'Stratified Scenario Model'!$P$15</c:f>
              <c:strCache>
                <c:ptCount val="1"/>
                <c:pt idx="0">
                  <c:v>Per Capita Positive Tests (July 07 - July 13) per 100K</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'Stratified Scenario Model'!$B$16:$B$66</c15:sqref>
                  </c15:fullRef>
                </c:ext>
              </c:extLst>
              <c:f>('Stratified Scenario Model'!$B$18:$B$22,'Stratified Scenario Model'!$B$25:$B$26,'Stratified Scenario Model'!$B$28,'Stratified Scenario Model'!$B$30:$B$32,'Stratified Scenario Model'!$B$35:$B$36,'Stratified Scenario Model'!$B$40,'Stratified Scenario Model'!$B$43,'Stratified Scenario Model'!$B$50:$B$51,'Stratified Scenario Model'!$B$54,'Stratified Scenario Model'!$B$58:$B$61,'Stratified Scenario Model'!$B$63:$B$64,'Stratified Scenario Model'!$B$66)</c:f>
              <c:strCache>
                <c:ptCount val="24"/>
                <c:pt idx="0">
                  <c:v>Jonesboro, AR </c:v>
                </c:pt>
                <c:pt idx="1">
                  <c:v>Casa Grande, AZ </c:v>
                </c:pt>
                <c:pt idx="2">
                  <c:v>Modesto, CA
Rancho Cucamonga, CA
Bakersfield, CA </c:v>
                </c:pt>
                <c:pt idx="3">
                  <c:v>Denver, CO </c:v>
                </c:pt>
                <c:pt idx="4">
                  <c:v>Dayville, CT</c:v>
                </c:pt>
                <c:pt idx="5">
                  <c:v>Orlando, FL</c:v>
                </c:pt>
                <c:pt idx="6">
                  <c:v>Kathleen, GA </c:v>
                </c:pt>
                <c:pt idx="7">
                  <c:v>Cedar Rapids, IA</c:v>
                </c:pt>
                <c:pt idx="8">
                  <c:v>Bridgeview, IL
Danville, IL</c:v>
                </c:pt>
                <c:pt idx="9">
                  <c:v>Frankfort, IN</c:v>
                </c:pt>
                <c:pt idx="10">
                  <c:v>Topeka, KS </c:v>
                </c:pt>
                <c:pt idx="11">
                  <c:v>Randolph, MA </c:v>
                </c:pt>
                <c:pt idx="12">
                  <c:v>Aberdeen, MD</c:v>
                </c:pt>
                <c:pt idx="13">
                  <c:v>Columbia, MO</c:v>
                </c:pt>
                <c:pt idx="14">
                  <c:v>Charlotte, NC</c:v>
                </c:pt>
                <c:pt idx="15">
                  <c:v>Binghampton, NY </c:v>
                </c:pt>
                <c:pt idx="16">
                  <c:v>Canton, OH
Wooster, OH</c:v>
                </c:pt>
                <c:pt idx="17">
                  <c:v>Williamsport, PA
York, PA </c:v>
                </c:pt>
                <c:pt idx="18">
                  <c:v>Fayetteville, TN
Pulaski, TN </c:v>
                </c:pt>
                <c:pt idx="19">
                  <c:v>Arlington, TX
Irving, TX
Rosenberg, TX
San Antonia, TX</c:v>
                </c:pt>
                <c:pt idx="20">
                  <c:v>Salt Lake City, UT</c:v>
                </c:pt>
                <c:pt idx="21">
                  <c:v>Lynchburg, VA </c:v>
                </c:pt>
                <c:pt idx="22">
                  <c:v>Vancouver, WA</c:v>
                </c:pt>
                <c:pt idx="23">
                  <c:v>Beloit, WI</c:v>
                </c:pt>
              </c:strCache>
            </c:strRef>
          </c:cat>
          <c:val>
            <c:numRef>
              <c:extLst>
                <c:ext xmlns:c15="http://schemas.microsoft.com/office/drawing/2012/chart" uri="{02D57815-91ED-43cb-92C2-25804820EDAC}">
                  <c15:fullRef>
                    <c15:sqref>'Stratified Scenario Model'!$P$16:$P$66</c15:sqref>
                  </c15:fullRef>
                </c:ext>
              </c:extLst>
              <c:f>('Stratified Scenario Model'!$P$18:$P$22,'Stratified Scenario Model'!$P$25:$P$26,'Stratified Scenario Model'!$P$28,'Stratified Scenario Model'!$P$30:$P$32,'Stratified Scenario Model'!$P$35:$P$36,'Stratified Scenario Model'!$P$40,'Stratified Scenario Model'!$P$43,'Stratified Scenario Model'!$P$50:$P$51,'Stratified Scenario Model'!$P$54,'Stratified Scenario Model'!$P$58:$P$61,'Stratified Scenario Model'!$P$63:$P$64,'Stratified Scenario Model'!$P$66)</c:f>
              <c:numCache>
                <c:formatCode>General</c:formatCode>
                <c:ptCount val="25"/>
                <c:pt idx="0">
                  <c:v>170.65389269813414</c:v>
                </c:pt>
                <c:pt idx="1">
                  <c:v>215.28519380544677</c:v>
                </c:pt>
                <c:pt idx="2">
                  <c:v>137.55490294737402</c:v>
                </c:pt>
                <c:pt idx="3">
                  <c:v>58.693435503902251</c:v>
                </c:pt>
                <c:pt idx="4">
                  <c:v>30.264043259350508</c:v>
                </c:pt>
                <c:pt idx="5">
                  <c:v>275.34092628101371</c:v>
                </c:pt>
                <c:pt idx="6">
                  <c:v>231.61929217664209</c:v>
                </c:pt>
                <c:pt idx="7">
                  <c:v>104.1815237062886</c:v>
                </c:pt>
                <c:pt idx="8">
                  <c:v>83.847459650826821</c:v>
                </c:pt>
                <c:pt idx="9">
                  <c:v>82.08289124284282</c:v>
                </c:pt>
                <c:pt idx="10">
                  <c:v>92.815261245440766</c:v>
                </c:pt>
                <c:pt idx="11">
                  <c:v>39.622761136266462</c:v>
                </c:pt>
                <c:pt idx="12">
                  <c:v>103.67733654444164</c:v>
                </c:pt>
                <c:pt idx="13">
                  <c:v>160.27886600054615</c:v>
                </c:pt>
                <c:pt idx="14">
                  <c:v>116.26527781432719</c:v>
                </c:pt>
                <c:pt idx="15">
                  <c:v>23.126871219104821</c:v>
                </c:pt>
                <c:pt idx="16">
                  <c:v>75.164041714075509</c:v>
                </c:pt>
                <c:pt idx="17">
                  <c:v>46.016287000402826</c:v>
                </c:pt>
                <c:pt idx="18">
                  <c:v>207.15536022365222</c:v>
                </c:pt>
                <c:pt idx="19">
                  <c:v>193.44471719966018</c:v>
                </c:pt>
                <c:pt idx="20">
                  <c:v>97.318804550777017</c:v>
                </c:pt>
                <c:pt idx="21">
                  <c:v>82.40857995864107</c:v>
                </c:pt>
                <c:pt idx="22">
                  <c:v>72.725906982540664</c:v>
                </c:pt>
                <c:pt idx="23">
                  <c:v>105.11068051608657</c:v>
                </c:pt>
                <c:pt idx="24">
                  <c:v>56.672984782958018</c:v>
                </c:pt>
              </c:numCache>
            </c:numRef>
          </c:val>
          <c:smooth val="0"/>
          <c:extLst>
            <c:ext xmlns:c16="http://schemas.microsoft.com/office/drawing/2014/chart" uri="{C3380CC4-5D6E-409C-BE32-E72D297353CC}">
              <c16:uniqueId val="{00000001-6387-4C9C-AD5A-0397A5AC2ED4}"/>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Positive Tests per 100,000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of total tests that are positive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Positive Tests per 100K Population and Test Positive Rates (Kerry US Locations)</a:t>
            </a:r>
          </a:p>
          <a:p>
            <a:pPr>
              <a:defRPr/>
            </a:pPr>
            <a:r>
              <a:rPr lang="en-US" baseline="0"/>
              <a:t>July 07 - July 13, 2020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'Stratified Scenario Model'!$Q$15</c:f>
              <c:strCache>
                <c:ptCount val="1"/>
                <c:pt idx="0">
                  <c:v>TPR Current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'Stratified Scenario Model Kerry'!$A$16:$A$37</c:f>
              <c:str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strCache>
            </c:strRef>
          </c:cat>
          <c:val>
            <c:numRef>
              <c:f>'Stratified Scenario Model Kerry'!$P$16:$P$66</c:f>
              <c:numCache>
                <c:formatCode>0</c:formatCode>
                <c:ptCount val="51"/>
                <c:pt idx="0">
                  <c:v>0.20584040504884832</c:v>
                </c:pt>
                <c:pt idx="1">
                  <c:v>0.12115081512150368</c:v>
                </c:pt>
                <c:pt idx="2">
                  <c:v>6.1197948921201915E-2</c:v>
                </c:pt>
                <c:pt idx="3">
                  <c:v>0.18405482709359761</c:v>
                </c:pt>
                <c:pt idx="4">
                  <c:v>0.1271311738127979</c:v>
                </c:pt>
                <c:pt idx="5">
                  <c:v>0.10392032880177048</c:v>
                </c:pt>
                <c:pt idx="6">
                  <c:v>4.013947760122704E-2</c:v>
                </c:pt>
                <c:pt idx="7">
                  <c:v>8.1635667961767439E-2</c:v>
                </c:pt>
                <c:pt idx="8">
                  <c:v>0.11806313583373357</c:v>
                </c:pt>
                <c:pt idx="9">
                  <c:v>5.9627660080480219E-2</c:v>
                </c:pt>
                <c:pt idx="10">
                  <c:v>8.2614942528735635E-3</c:v>
                </c:pt>
                <c:pt idx="11">
                  <c:v>-4.818581471201961E-2</c:v>
                </c:pt>
                <c:pt idx="12">
                  <c:v>0.13846348741624909</c:v>
                </c:pt>
                <c:pt idx="13">
                  <c:v>0.23257403189066059</c:v>
                </c:pt>
                <c:pt idx="14">
                  <c:v>1.5503018164314288E-2</c:v>
                </c:pt>
                <c:pt idx="15">
                  <c:v>9.8743484224965705E-3</c:v>
                </c:pt>
                <c:pt idx="16">
                  <c:v>4.5893076340463315E-2</c:v>
                </c:pt>
                <c:pt idx="17">
                  <c:v>8.6748302990538442E-2</c:v>
                </c:pt>
                <c:pt idx="18">
                  <c:v>0.13825596986965866</c:v>
                </c:pt>
                <c:pt idx="19">
                  <c:v>6.0691821186053131E-2</c:v>
                </c:pt>
                <c:pt idx="20">
                  <c:v>6.227159771963163E-2</c:v>
                </c:pt>
                <c:pt idx="21">
                  <c:v>6.5349706353443671E-2</c:v>
                </c:pt>
              </c:numCache>
            </c:numRef>
          </c:val>
          <c:extLst>
            <c:ext xmlns:c16="http://schemas.microsoft.com/office/drawing/2014/chart" uri="{C3380CC4-5D6E-409C-BE32-E72D297353CC}">
              <c16:uniqueId val="{00000000-EE4F-42AA-847E-7CDAFECEBB5B}"/>
            </c:ext>
          </c:extLst>
        </c:ser>
        <c:dLbls>
          <c:showLegendKey val="0"/>
          <c:showVal val="0"/>
          <c:showCatName val="0"/>
          <c:showSerName val="0"/>
          <c:showPercent val="0"/>
          <c:showBubbleSize val="0"/>
        </c:dLbls>
        <c:gapWidth val="219"/>
        <c:overlap val="-27"/>
        <c:axId val="796879392"/>
        <c:axId val="796878736"/>
      </c:barChart>
      <c:lineChart>
        <c:grouping val="standard"/>
        <c:varyColors val="0"/>
        <c:ser>
          <c:idx val="1"/>
          <c:order val="1"/>
          <c:tx>
            <c:strRef>
              <c:f>'Stratified Scenario Model'!$P$15</c:f>
              <c:strCache>
                <c:ptCount val="1"/>
                <c:pt idx="0">
                  <c:v>Per Capita Positive Tests (July 07 - July 13) per 100K</c:v>
                </c:pt>
              </c:strCache>
            </c:strRef>
          </c:tx>
          <c:spPr>
            <a:ln w="28575" cap="rnd">
              <a:solidFill>
                <a:schemeClr val="accent2"/>
              </a:solidFill>
              <a:round/>
            </a:ln>
            <a:effectLst/>
          </c:spPr>
          <c:marker>
            <c:symbol val="none"/>
          </c:marker>
          <c:cat>
            <c:strRef>
              <c:f>'Stratified Scenario Model Kerry'!$A$16:$A$37</c:f>
              <c:strCache>
                <c:ptCount val="22"/>
                <c:pt idx="0">
                  <c:v>Montgomery, AL†</c:v>
                </c:pt>
                <c:pt idx="1">
                  <c:v>Hot Springs, AR†</c:v>
                </c:pt>
                <c:pt idx="2">
                  <c:v>Commerce, CA*
Mecca, CA
Montebello, CA
Union City, CA</c:v>
                </c:pt>
                <c:pt idx="3">
                  <c:v>Lakeland, FL*
Plant City, FL</c:v>
                </c:pt>
                <c:pt idx="4">
                  <c:v>Banks, GA
Calhoun, GA
Rome, GA
Savannah, GA</c:v>
                </c:pt>
                <c:pt idx="5">
                  <c:v>Fredricksburg, IA
Vinton, IA</c:v>
                </c:pt>
                <c:pt idx="6">
                  <c:v>Carol Stream, IL
Chicago, IL
Elk Grove Village, IL
Melrose Park, IL
Lake Zurich, IL</c:v>
                </c:pt>
                <c:pt idx="7">
                  <c:v>Evansville, IN†
West Bend, IN</c:v>
                </c:pt>
                <c:pt idx="8">
                  <c:v>New Century, KS</c:v>
                </c:pt>
                <c:pt idx="9">
                  <c:v>Baltimore, MD</c:v>
                </c:pt>
                <c:pt idx="10">
                  <c:v>Portland, ME </c:v>
                </c:pt>
                <c:pt idx="11">
                  <c:v>Blue Earth, MN
Owatonna, MN
Rochester, MN</c:v>
                </c:pt>
                <c:pt idx="12">
                  <c:v>Affton, MO
Greenville, MO
Nixa, MO
Springfield, MO</c:v>
                </c:pt>
                <c:pt idx="13">
                  <c:v>Vicksburg, MS†</c:v>
                </c:pt>
                <c:pt idx="14">
                  <c:v>Clark, NJ†
Clark Savory, NJ</c:v>
                </c:pt>
                <c:pt idx="15">
                  <c:v>North Rose, NY
Norwich, NY</c:v>
                </c:pt>
                <c:pt idx="16">
                  <c:v>Byesville, OH</c:v>
                </c:pt>
                <c:pt idx="17">
                  <c:v>Crossville, TN</c:v>
                </c:pt>
                <c:pt idx="18">
                  <c:v>Forth Worth, TX*</c:v>
                </c:pt>
                <c:pt idx="19">
                  <c:v>Harrisonburg, VA</c:v>
                </c:pt>
                <c:pt idx="20">
                  <c:v>Seattle, WA†
Summer, WA</c:v>
                </c:pt>
                <c:pt idx="21">
                  <c:v>Beloit, WI
Jackson, WI
Manitowoc, WI
Owen, WI
Rhinelander, WI
Rothschilde, WI
Sturtevant, WI
Vesper, WI</c:v>
                </c:pt>
              </c:strCache>
            </c:strRef>
          </c:cat>
          <c:val>
            <c:numRef>
              <c:f>'Stratified Scenario Model Kerry'!$O$16:$O$66</c:f>
              <c:numCache>
                <c:formatCode>0</c:formatCode>
                <c:ptCount val="51"/>
                <c:pt idx="0">
                  <c:v>235.47959132686202</c:v>
                </c:pt>
                <c:pt idx="1">
                  <c:v>170.65389269813414</c:v>
                </c:pt>
                <c:pt idx="2">
                  <c:v>137.55490294737402</c:v>
                </c:pt>
                <c:pt idx="3">
                  <c:v>275.34092628101371</c:v>
                </c:pt>
                <c:pt idx="4">
                  <c:v>231.61929217664209</c:v>
                </c:pt>
                <c:pt idx="5">
                  <c:v>104.1815237062886</c:v>
                </c:pt>
                <c:pt idx="6">
                  <c:v>83.847459650826821</c:v>
                </c:pt>
                <c:pt idx="7">
                  <c:v>82.08289124284282</c:v>
                </c:pt>
                <c:pt idx="8">
                  <c:v>92.815261245440766</c:v>
                </c:pt>
                <c:pt idx="9">
                  <c:v>103.67733654444164</c:v>
                </c:pt>
                <c:pt idx="10">
                  <c:v>10.266237766066661</c:v>
                </c:pt>
                <c:pt idx="11">
                  <c:v>84.349475284912216</c:v>
                </c:pt>
                <c:pt idx="12">
                  <c:v>160.27886600054615</c:v>
                </c:pt>
                <c:pt idx="13">
                  <c:v>274.44862471603403</c:v>
                </c:pt>
                <c:pt idx="14">
                  <c:v>31.546274060789063</c:v>
                </c:pt>
                <c:pt idx="15">
                  <c:v>23.126871219104821</c:v>
                </c:pt>
                <c:pt idx="16">
                  <c:v>75.164041714075509</c:v>
                </c:pt>
                <c:pt idx="17">
                  <c:v>207.15536022365222</c:v>
                </c:pt>
                <c:pt idx="18">
                  <c:v>193.44471719966018</c:v>
                </c:pt>
                <c:pt idx="19">
                  <c:v>82.40857995864107</c:v>
                </c:pt>
                <c:pt idx="20">
                  <c:v>72.725906982540664</c:v>
                </c:pt>
                <c:pt idx="21">
                  <c:v>105.11068051608657</c:v>
                </c:pt>
              </c:numCache>
            </c:numRef>
          </c:val>
          <c:smooth val="0"/>
          <c:extLst>
            <c:ext xmlns:c16="http://schemas.microsoft.com/office/drawing/2014/chart" uri="{C3380CC4-5D6E-409C-BE32-E72D297353CC}">
              <c16:uniqueId val="{00000001-EE4F-42AA-847E-7CDAFECEBB5B}"/>
            </c:ext>
          </c:extLst>
        </c:ser>
        <c:dLbls>
          <c:showLegendKey val="0"/>
          <c:showVal val="0"/>
          <c:showCatName val="0"/>
          <c:showSerName val="0"/>
          <c:showPercent val="0"/>
          <c:showBubbleSize val="0"/>
        </c:dLbls>
        <c:marker val="1"/>
        <c:smooth val="0"/>
        <c:axId val="796878408"/>
        <c:axId val="796879720"/>
      </c:lineChart>
      <c:catAx>
        <c:axId val="796878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720"/>
        <c:crosses val="autoZero"/>
        <c:auto val="1"/>
        <c:lblAlgn val="ctr"/>
        <c:lblOffset val="100"/>
        <c:noMultiLvlLbl val="0"/>
      </c:catAx>
      <c:valAx>
        <c:axId val="796879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Positive Tests per 100,000 people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8408"/>
        <c:crosses val="autoZero"/>
        <c:crossBetween val="between"/>
      </c:valAx>
      <c:valAx>
        <c:axId val="79687873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Percentage</a:t>
                </a:r>
                <a:r>
                  <a:rPr lang="en-US" baseline="0"/>
                  <a:t> of total tests that are positive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6879392"/>
        <c:crosses val="max"/>
        <c:crossBetween val="between"/>
      </c:valAx>
      <c:catAx>
        <c:axId val="796879392"/>
        <c:scaling>
          <c:orientation val="minMax"/>
        </c:scaling>
        <c:delete val="1"/>
        <c:axPos val="b"/>
        <c:numFmt formatCode="General" sourceLinked="1"/>
        <c:majorTickMark val="out"/>
        <c:minorTickMark val="none"/>
        <c:tickLblPos val="nextTo"/>
        <c:crossAx val="79687873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chart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chart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chart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chart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chart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chart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chart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chart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8B56B83-BCED-45C2-9074-46D23374FB56}">
  <sheetPr codeName="Chart11"/>
  <sheetViews>
    <sheetView zoomScale="12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07CDAFA-52DE-4F32-87BE-B30A3804D06D}">
  <sheetPr codeName="Chart10"/>
  <sheetViews>
    <sheetView zoomScale="12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9F14B50-0E52-4331-AFB4-78240C65119C}">
  <sheetPr codeName="Chart12">
    <tabColor theme="7" tint="-0.499984740745262"/>
  </sheetPr>
  <sheetViews>
    <sheetView zoomScale="12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383AAE9-9952-4F61-B0CE-0D787EC66789}">
  <sheetPr codeName="Chart13">
    <tabColor theme="7" tint="0.39997558519241921"/>
  </sheetPr>
  <sheetViews>
    <sheetView zoomScale="12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1F72907-5F8A-4CF5-88CC-5342B767DD00}">
  <sheetPr codeName="Chart14">
    <tabColor theme="7" tint="0.39997558519241921"/>
  </sheetPr>
  <sheetViews>
    <sheetView zoomScale="12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F7A3FE3-01A9-4D8C-82ED-A80331BBC236}">
  <sheetPr codeName="Chart15">
    <tabColor theme="7" tint="0.39997558519241921"/>
  </sheetPr>
  <sheetViews>
    <sheetView zoomScale="120"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D16CA61-0F9C-4294-94BF-CB0250E9D9D5}">
  <sheetPr codeName="Chart16">
    <tabColor theme="9" tint="0.39997558519241921"/>
  </sheetPr>
  <sheetViews>
    <sheetView zoomScale="120" workbookViewId="0"/>
  </sheetViews>
  <pageMargins left="0.7" right="0.7" top="0.75" bottom="0.75" header="0.3" footer="0.3"/>
  <drawing r:id="rId1"/>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F7196FC-6797-4217-976F-A3F4FEECDC86}">
  <sheetPr codeName="Chart17">
    <tabColor theme="9" tint="-0.499984740745262"/>
  </sheetPr>
  <sheetViews>
    <sheetView zoomScale="120" workbookViewId="0"/>
  </sheetViews>
  <pageMargins left="0.7" right="0.7" top="0.75" bottom="0.75" header="0.3" footer="0.3"/>
  <drawing r:id="rId1"/>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1E7B311-9719-44B5-ACEA-F8E742B1A4E2}">
  <sheetPr codeName="Chart18">
    <tabColor theme="9" tint="-0.499984740745262"/>
  </sheetPr>
  <sheetViews>
    <sheetView zoomScale="120" workbookViewId="0"/>
  </sheetViews>
  <pageMargins left="0.7" right="0.7" top="0.75" bottom="0.75" header="0.3" footer="0.3"/>
  <drawing r:id="rId1"/>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3F484D2-1389-4A27-880E-362CCA716FCE}">
  <sheetPr codeName="Chart19">
    <tabColor theme="9" tint="-0.499984740745262"/>
  </sheetPr>
  <sheetViews>
    <sheetView zoomScale="120" workbookViewId="0"/>
  </sheetViews>
  <pageMargins left="0.7" right="0.7" top="0.75" bottom="0.75" header="0.3" footer="0.3"/>
  <drawing r:id="rId1"/>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018609A-233D-4930-8C74-76E95DA455F6}">
  <sheetPr codeName="Chart20">
    <tabColor theme="2" tint="-0.499984740745262"/>
  </sheetPr>
  <sheetViews>
    <sheetView zoomScale="120" workbookViewId="0"/>
  </sheetViews>
  <pageMargins left="0.7" right="0.7" top="0.75" bottom="0.75" header="0.3" footer="0.3"/>
  <drawing r:id="rId1"/>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1D756A7-E3B4-42AF-87C7-274E1E847716}">
  <sheetPr codeName="Chart21">
    <tabColor theme="2" tint="-0.249977111117893"/>
  </sheetPr>
  <sheetViews>
    <sheetView zoomScale="120" workbookViewId="0"/>
  </sheetViews>
  <pageMargins left="0.7" right="0.7" top="0.75" bottom="0.75" header="0.3" footer="0.3"/>
  <drawing r:id="rId1"/>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068E5A-A643-4DB6-9386-75E8C2A29A77}">
  <sheetPr codeName="Chart22">
    <tabColor theme="2" tint="-9.9978637043366805E-2"/>
  </sheetPr>
  <sheetViews>
    <sheetView zoomScale="120" workbookViewId="0"/>
  </sheetViews>
  <pageMargins left="0.7" right="0.7" top="0.75" bottom="0.75" header="0.3" footer="0.3"/>
  <drawing r:id="rId1"/>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30D2515-0F0F-43D8-A004-8D2EAF97EC75}">
  <sheetPr codeName="Chart23">
    <tabColor rgb="FF7030A0"/>
  </sheetPr>
  <sheetViews>
    <sheetView workbookViewId="0"/>
  </sheetViews>
  <pageMargins left="0.7" right="0.7" top="0.75" bottom="0.75" header="0.3" footer="0.3"/>
  <drawing r:id="rId1"/>
</chartsheet>
</file>

<file path=xl/chartsheets/sheet1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000-000000000000}">
  <sheetPr codeName="Chart24">
    <tabColor rgb="FF92D050"/>
  </sheetPr>
  <sheetViews>
    <sheetView zoomScale="130" workbookViewId="0"/>
  </sheetViews>
  <pageMargins left="0.7" right="0.7" top="0.75" bottom="0.75" header="0.3" footer="0.3"/>
  <drawing r:id="rId1"/>
</chartsheet>
</file>

<file path=xl/chartsheets/sheet1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D0704AE-0284-43F4-83A9-F1128C70595A}">
  <sheetPr codeName="Chart25">
    <tabColor theme="5" tint="0.79998168889431442"/>
  </sheetPr>
  <sheetViews>
    <sheetView workbookViewId="0"/>
  </sheetViews>
  <pageMargins left="0.7" right="0.7" top="0.75" bottom="0.75" header="0.3" footer="0.3"/>
  <drawing r:id="rId1"/>
</chartsheet>
</file>

<file path=xl/chartsheets/sheet1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050867F-FA57-4A52-AC94-0CE06C028E2F}">
  <sheetPr codeName="Chart26">
    <tabColor theme="5" tint="0.79998168889431442"/>
  </sheetPr>
  <sheetViews>
    <sheetView zoomScale="85" workbookViewId="0"/>
  </sheetViews>
  <pageMargins left="0.7" right="0.7" top="0.75" bottom="0.75" header="0.3" footer="0.3"/>
  <drawing r:id="rId1"/>
</chartsheet>
</file>

<file path=xl/chartsheets/sheet1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9728F98-55F2-453B-97F7-1FCEA9112462}">
  <sheetPr codeName="Chart27">
    <tabColor theme="5" tint="0.79998168889431442"/>
  </sheetPr>
  <sheetViews>
    <sheetView zoomScale="85" workbookViewId="0"/>
  </sheetViews>
  <pageMargins left="0.7" right="0.7" top="0.75" bottom="0.75" header="0.3" footer="0.3"/>
  <drawing r:id="rId1"/>
</chartsheet>
</file>

<file path=xl/chartsheets/sheet1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1A5EFEA-3DCC-4384-9219-68011875E909}">
  <sheetPr codeName="Chart28">
    <tabColor rgb="FFFF0000"/>
  </sheetPr>
  <sheetViews>
    <sheetView zoomScale="98" workbookViewId="0" zoomToFit="1"/>
  </sheetViews>
  <pageMargins left="0.7" right="0.7" top="0.75" bottom="0.75" header="0.3" footer="0.3"/>
  <drawing r:id="rId1"/>
</chartsheet>
</file>

<file path=xl/chartsheets/sheet2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8B6EF93-4680-4BDB-A646-656CC2F4847E}">
  <sheetPr codeName="Chart29">
    <tabColor rgb="FFFF0000"/>
  </sheetPr>
  <sheetViews>
    <sheetView zoomScale="92" workbookViewId="0" zoomToFit="1"/>
  </sheetViews>
  <pageMargins left="0.7" right="0.7" top="0.75" bottom="0.75" header="0.3" footer="0.3"/>
  <drawing r:id="rId1"/>
</chartsheet>
</file>

<file path=xl/chartsheets/sheet2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E5DC99C-4E2B-432C-9E63-3051F8369A98}">
  <sheetPr codeName="Chart30">
    <tabColor rgb="FFFF0000"/>
  </sheetPr>
  <sheetViews>
    <sheetView zoomScale="9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absoluteAnchor>
    <xdr:pos x="0" y="0"/>
    <xdr:ext cx="8667750" cy="6294438"/>
    <xdr:graphicFrame macro="">
      <xdr:nvGraphicFramePr>
        <xdr:cNvPr id="2" name="Chart 1">
          <a:extLst>
            <a:ext uri="{FF2B5EF4-FFF2-40B4-BE49-F238E27FC236}">
              <a16:creationId xmlns:a16="http://schemas.microsoft.com/office/drawing/2014/main" id="{7AF9FD1C-8885-4751-AB0B-05888FF80FF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7750" cy="6294438"/>
    <xdr:graphicFrame macro="">
      <xdr:nvGraphicFramePr>
        <xdr:cNvPr id="2" name="Chart 1">
          <a:extLst>
            <a:ext uri="{FF2B5EF4-FFF2-40B4-BE49-F238E27FC236}">
              <a16:creationId xmlns:a16="http://schemas.microsoft.com/office/drawing/2014/main" id="{5FB60AB1-B58B-495E-9F89-873A6E1D0FB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7750" cy="6294438"/>
    <xdr:graphicFrame macro="">
      <xdr:nvGraphicFramePr>
        <xdr:cNvPr id="2" name="Chart 1">
          <a:extLst>
            <a:ext uri="{FF2B5EF4-FFF2-40B4-BE49-F238E27FC236}">
              <a16:creationId xmlns:a16="http://schemas.microsoft.com/office/drawing/2014/main" id="{CD0F558C-0187-422A-B694-EBB4BA86B06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7750" cy="6294438"/>
    <xdr:graphicFrame macro="">
      <xdr:nvGraphicFramePr>
        <xdr:cNvPr id="2" name="Chart 1">
          <a:extLst>
            <a:ext uri="{FF2B5EF4-FFF2-40B4-BE49-F238E27FC236}">
              <a16:creationId xmlns:a16="http://schemas.microsoft.com/office/drawing/2014/main" id="{43CBB74C-0CB1-40AC-B06F-F81135F0547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DC5B4FE1-C86F-4A61-A519-549F9B77D60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A19B22F6-4DF3-4763-8550-4FB040C1AAA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920CFFAF-45F4-43E3-9F44-6E5E88ECDA8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A109CD31-CE0B-4E1D-9BBE-722D8F4F6D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D87A1516-2A6C-4524-B4B1-92D9A2F33CA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B2E8FD6F-446A-4213-B4D2-CE3E5D8BD40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81F7C580-D543-40BD-A5A9-AB4DE013E72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1A7D55C0-3A44-40AF-9898-EDA0D4B727E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1400" cy="6286500"/>
    <xdr:graphicFrame macro="">
      <xdr:nvGraphicFramePr>
        <xdr:cNvPr id="2" name="Chart 1">
          <a:extLst>
            <a:ext uri="{FF2B5EF4-FFF2-40B4-BE49-F238E27FC236}">
              <a16:creationId xmlns:a16="http://schemas.microsoft.com/office/drawing/2014/main" id="{EFEC9F85-054A-44B3-8528-FAEC50162E9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613551DE-4635-4653-9594-DBCE71BCE4A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absoluteAnchor>
    <xdr:pos x="0" y="0"/>
    <xdr:ext cx="8657492" cy="6283569"/>
    <xdr:graphicFrame macro="">
      <xdr:nvGraphicFramePr>
        <xdr:cNvPr id="2" name="Chart 1">
          <a:extLst>
            <a:ext uri="{FF2B5EF4-FFF2-40B4-BE49-F238E27FC236}">
              <a16:creationId xmlns:a16="http://schemas.microsoft.com/office/drawing/2014/main" id="{108CBCCD-C079-4ABC-AFAE-1C7128D1CA4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xdr:wsDr xmlns:xdr="http://schemas.openxmlformats.org/drawingml/2006/spreadsheetDrawing" xmlns:a="http://schemas.openxmlformats.org/drawingml/2006/main">
  <xdr:absoluteAnchor>
    <xdr:pos x="0" y="0"/>
    <xdr:ext cx="8656320" cy="6278880"/>
    <xdr:graphicFrame macro="">
      <xdr:nvGraphicFramePr>
        <xdr:cNvPr id="2" name="Chart 1">
          <a:extLst>
            <a:ext uri="{FF2B5EF4-FFF2-40B4-BE49-F238E27FC236}">
              <a16:creationId xmlns:a16="http://schemas.microsoft.com/office/drawing/2014/main" id="{871D37D6-CDDB-4652-A37D-2CBDAFE05BF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8659906" cy="6284259"/>
    <xdr:graphicFrame macro="">
      <xdr:nvGraphicFramePr>
        <xdr:cNvPr id="2" name="Chart 1">
          <a:extLst>
            <a:ext uri="{FF2B5EF4-FFF2-40B4-BE49-F238E27FC236}">
              <a16:creationId xmlns:a16="http://schemas.microsoft.com/office/drawing/2014/main" id="{85027B9F-1431-42CF-A37F-B9F16D07CD5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absoluteAnchor>
    <xdr:pos x="0" y="0"/>
    <xdr:ext cx="10824882" cy="7855324"/>
    <xdr:graphicFrame macro="">
      <xdr:nvGraphicFramePr>
        <xdr:cNvPr id="2" name="Chart 1">
          <a:extLst>
            <a:ext uri="{FF2B5EF4-FFF2-40B4-BE49-F238E27FC236}">
              <a16:creationId xmlns:a16="http://schemas.microsoft.com/office/drawing/2014/main" id="{E75FC756-08E8-477E-B178-3AF069AB3F2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9.xml><?xml version="1.0" encoding="utf-8"?>
<xdr:wsDr xmlns:xdr="http://schemas.openxmlformats.org/drawingml/2006/spreadsheetDrawing" xmlns:a="http://schemas.openxmlformats.org/drawingml/2006/main">
  <xdr:absoluteAnchor>
    <xdr:pos x="0" y="0"/>
    <xdr:ext cx="10817679" cy="7853265"/>
    <xdr:graphicFrame macro="">
      <xdr:nvGraphicFramePr>
        <xdr:cNvPr id="2" name="Chart 1">
          <a:extLst>
            <a:ext uri="{FF2B5EF4-FFF2-40B4-BE49-F238E27FC236}">
              <a16:creationId xmlns:a16="http://schemas.microsoft.com/office/drawing/2014/main" id="{6FCCA6C5-97C3-48DC-B4ED-6402E9C7227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xdr:wsDr xmlns:xdr="http://schemas.openxmlformats.org/drawingml/2006/spreadsheetDrawing" xmlns:a="http://schemas.openxmlformats.org/drawingml/2006/main">
  <xdr:absoluteAnchor>
    <xdr:pos x="0" y="0"/>
    <xdr:ext cx="8663609" cy="6286500"/>
    <xdr:graphicFrame macro="">
      <xdr:nvGraphicFramePr>
        <xdr:cNvPr id="2" name="Chart 1">
          <a:extLst>
            <a:ext uri="{FF2B5EF4-FFF2-40B4-BE49-F238E27FC236}">
              <a16:creationId xmlns:a16="http://schemas.microsoft.com/office/drawing/2014/main" id="{5587CF8A-E5A7-44AE-840A-0AC0E90D5ED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xdr:wsDr xmlns:xdr="http://schemas.openxmlformats.org/drawingml/2006/spreadsheetDrawing" xmlns:a="http://schemas.openxmlformats.org/drawingml/2006/main">
  <xdr:absoluteAnchor>
    <xdr:pos x="0" y="0"/>
    <xdr:ext cx="8663609" cy="6286500"/>
    <xdr:graphicFrame macro="">
      <xdr:nvGraphicFramePr>
        <xdr:cNvPr id="2" name="Chart 1">
          <a:extLst>
            <a:ext uri="{FF2B5EF4-FFF2-40B4-BE49-F238E27FC236}">
              <a16:creationId xmlns:a16="http://schemas.microsoft.com/office/drawing/2014/main" id="{95E82EA0-62E4-48A7-AC25-3168E40B204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ng Castro" refreshedDate="44046.99725266204" backgroundQuery="1" createdVersion="6" refreshedVersion="6" minRefreshableVersion="3" recordCount="357" xr:uid="{A816B9A5-4B12-4E78-A4D5-A2320CBEF40F}">
  <cacheSource type="external" connectionId="2"/>
  <cacheFields count="6">
    <cacheField name="date" numFmtId="0">
      <sharedItems containsSemiMixedTypes="0" containsString="0" containsNumber="1" containsInteger="1" minValue="20200728" maxValue="20200803" count="7">
        <n v="20200802"/>
        <n v="20200728"/>
        <n v="20200801"/>
        <n v="20200729"/>
        <n v="20200731"/>
        <n v="20200803"/>
        <n v="20200730"/>
      </sharedItems>
    </cacheField>
    <cacheField name="state" numFmtId="0">
      <sharedItems count="56">
        <s v="AK"/>
        <s v="AL"/>
        <s v="AR"/>
        <s v="AZ"/>
        <s v="CA"/>
        <s v="CO"/>
        <s v="CT"/>
        <s v="DC"/>
        <s v="DE"/>
        <s v="FL"/>
        <s v="GA"/>
        <s v="HI"/>
        <s v="IA"/>
        <s v="ID"/>
        <s v="IL"/>
        <s v="IN"/>
        <s v="KS"/>
        <s v="KY"/>
        <s v="LA"/>
        <s v="MA"/>
        <s v="MD"/>
        <s v="ME"/>
        <s v="MI"/>
        <s v="MN"/>
        <s v="MO"/>
        <s v="MS"/>
        <s v="MT"/>
        <s v="NC"/>
        <s v="ND"/>
        <s v="NE"/>
        <s v="NH"/>
        <s v="NJ"/>
        <s v="NM"/>
        <s v="NV"/>
        <s v="NY"/>
        <s v="OH"/>
        <s v="OK"/>
        <s v="OR"/>
        <s v="PA"/>
        <s v="RI"/>
        <s v="SC"/>
        <s v="SD"/>
        <s v="TN"/>
        <s v="TX"/>
        <s v="UT"/>
        <s v="VA"/>
        <s v="VT"/>
        <s v="WA"/>
        <s v="WI"/>
        <s v="WV"/>
        <s v="WY"/>
        <s v="MP" u="1"/>
        <s v="GU" u="1"/>
        <s v="VI" u="1"/>
        <s v="PR" u="1"/>
        <s v="AS" u="1"/>
      </sharedItems>
    </cacheField>
    <cacheField name="death" numFmtId="0">
      <sharedItems containsSemiMixedTypes="0" containsString="0" containsNumber="1" containsInteger="1" minValue="22" maxValue="25172"/>
    </cacheField>
    <cacheField name="positiveIncrease" numFmtId="0">
      <sharedItems containsSemiMixedTypes="0" containsString="0" containsNumber="1" containsInteger="1" minValue="0" maxValue="11529"/>
    </cacheField>
    <cacheField name="totalTestResultsIncrease" numFmtId="0">
      <sharedItems containsSemiMixedTypes="0" containsString="0" containsNumber="1" containsInteger="1" minValue="-173528" maxValue="177201"/>
    </cacheField>
    <cacheField name="deathIncrease" numFmtId="0">
      <sharedItems containsSemiMixedTypes="0" containsString="0" containsNumber="1" containsInteger="1" minValue="-27" maxValue="31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ng Castro" refreshedDate="44047.411769675928" backgroundQuery="1" createdVersion="6" refreshedVersion="6" minRefreshableVersion="3" recordCount="392" xr:uid="{A1484202-EDE8-482E-ABCA-B6A25CE4B510}">
  <cacheSource type="external" connectionId="3"/>
  <cacheFields count="6">
    <cacheField name="date" numFmtId="0">
      <sharedItems containsSemiMixedTypes="0" containsString="0" containsNumber="1" containsInteger="1" minValue="20200728" maxValue="20200803" count="7">
        <n v="20200731"/>
        <n v="20200730"/>
        <n v="20200729"/>
        <n v="20200801"/>
        <n v="20200728"/>
        <n v="20200803"/>
        <n v="20200802"/>
      </sharedItems>
    </cacheField>
    <cacheField name="state" numFmtId="0">
      <sharedItems count="56">
        <s v="AK"/>
        <s v="AL"/>
        <s v="AR"/>
        <s v="AS"/>
        <s v="AZ"/>
        <s v="CA"/>
        <s v="CO"/>
        <s v="CT"/>
        <s v="DC"/>
        <s v="DE"/>
        <s v="FL"/>
        <s v="GA"/>
        <s v="GU"/>
        <s v="HI"/>
        <s v="IA"/>
        <s v="ID"/>
        <s v="IL"/>
        <s v="IN"/>
        <s v="KS"/>
        <s v="KY"/>
        <s v="LA"/>
        <s v="MA"/>
        <s v="MD"/>
        <s v="ME"/>
        <s v="MI"/>
        <s v="MN"/>
        <s v="MO"/>
        <s v="MP"/>
        <s v="MS"/>
        <s v="MT"/>
        <s v="NC"/>
        <s v="ND"/>
        <s v="NE"/>
        <s v="NH"/>
        <s v="NJ"/>
        <s v="NM"/>
        <s v="NV"/>
        <s v="NY"/>
        <s v="OH"/>
        <s v="OK"/>
        <s v="OR"/>
        <s v="PA"/>
        <s v="PR"/>
        <s v="RI"/>
        <s v="SC"/>
        <s v="SD"/>
        <s v="TN"/>
        <s v="TX"/>
        <s v="UT"/>
        <s v="VA"/>
        <s v="VI"/>
        <s v="VT"/>
        <s v="WA"/>
        <s v="WI"/>
        <s v="WV"/>
        <s v="WY"/>
      </sharedItems>
    </cacheField>
    <cacheField name="death" numFmtId="0">
      <sharedItems containsSemiMixedTypes="0" containsString="0" containsNumber="1" containsInteger="1" minValue="0" maxValue="25172"/>
    </cacheField>
    <cacheField name="positiveIncrease" numFmtId="0">
      <sharedItems containsSemiMixedTypes="0" containsString="0" containsNumber="1" containsInteger="1" minValue="0" maxValue="11529"/>
    </cacheField>
    <cacheField name="totalTestResultsIncrease" numFmtId="0">
      <sharedItems containsSemiMixedTypes="0" containsString="0" containsNumber="1" containsInteger="1" minValue="-173528" maxValue="177201"/>
    </cacheField>
    <cacheField name="deathIncrease" numFmtId="0">
      <sharedItems containsSemiMixedTypes="0" containsString="0" containsNumber="1" containsInteger="1" minValue="-27" maxValue="31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7">
  <r>
    <x v="0"/>
    <x v="0"/>
    <n v="24"/>
    <n v="157"/>
    <n v="4457"/>
    <n v="0"/>
  </r>
  <r>
    <x v="1"/>
    <x v="0"/>
    <n v="22"/>
    <n v="144"/>
    <n v="6507"/>
    <n v="1"/>
  </r>
  <r>
    <x v="2"/>
    <x v="0"/>
    <n v="24"/>
    <n v="150"/>
    <n v="5527"/>
    <n v="1"/>
  </r>
  <r>
    <x v="3"/>
    <x v="0"/>
    <n v="22"/>
    <n v="92"/>
    <n v="9789"/>
    <n v="0"/>
  </r>
  <r>
    <x v="4"/>
    <x v="0"/>
    <n v="23"/>
    <n v="118"/>
    <n v="8049"/>
    <n v="0"/>
  </r>
  <r>
    <x v="5"/>
    <x v="0"/>
    <n v="25"/>
    <n v="80"/>
    <n v="2717"/>
    <n v="1"/>
  </r>
  <r>
    <x v="6"/>
    <x v="0"/>
    <n v="23"/>
    <n v="117"/>
    <n v="1393"/>
    <n v="1"/>
  </r>
  <r>
    <x v="0"/>
    <x v="1"/>
    <n v="1627"/>
    <n v="2095"/>
    <n v="8699"/>
    <n v="24"/>
  </r>
  <r>
    <x v="4"/>
    <x v="1"/>
    <n v="1580"/>
    <n v="1961"/>
    <n v="9359"/>
    <n v="15"/>
  </r>
  <r>
    <x v="2"/>
    <x v="1"/>
    <n v="1603"/>
    <n v="1626"/>
    <n v="7904"/>
    <n v="23"/>
  </r>
  <r>
    <x v="1"/>
    <x v="1"/>
    <n v="1491"/>
    <n v="1251"/>
    <n v="7440"/>
    <n v="0"/>
  </r>
  <r>
    <x v="5"/>
    <x v="1"/>
    <n v="1633"/>
    <n v="1217"/>
    <n v="7981"/>
    <n v="6"/>
  </r>
  <r>
    <x v="3"/>
    <x v="1"/>
    <n v="1538"/>
    <n v="1416"/>
    <n v="2876"/>
    <n v="47"/>
  </r>
  <r>
    <x v="6"/>
    <x v="1"/>
    <n v="1565"/>
    <n v="1980"/>
    <n v="11833"/>
    <n v="27"/>
  </r>
  <r>
    <x v="0"/>
    <x v="2"/>
    <n v="458"/>
    <n v="0"/>
    <n v="0"/>
    <n v="-2"/>
  </r>
  <r>
    <x v="1"/>
    <x v="2"/>
    <n v="428"/>
    <n v="734"/>
    <n v="5015"/>
    <n v="20"/>
  </r>
  <r>
    <x v="6"/>
    <x v="2"/>
    <n v="442"/>
    <n v="791"/>
    <n v="7112"/>
    <n v="8"/>
  </r>
  <r>
    <x v="5"/>
    <x v="2"/>
    <n v="475"/>
    <n v="1424"/>
    <n v="12819"/>
    <n v="17"/>
  </r>
  <r>
    <x v="3"/>
    <x v="2"/>
    <n v="434"/>
    <n v="787"/>
    <n v="5699"/>
    <n v="6"/>
  </r>
  <r>
    <x v="4"/>
    <x v="2"/>
    <n v="453"/>
    <n v="752"/>
    <n v="752"/>
    <n v="11"/>
  </r>
  <r>
    <x v="2"/>
    <x v="2"/>
    <n v="460"/>
    <n v="662"/>
    <n v="11112"/>
    <n v="7"/>
  </r>
  <r>
    <x v="4"/>
    <x v="3"/>
    <n v="3694"/>
    <n v="3212"/>
    <n v="20477"/>
    <n v="68"/>
  </r>
  <r>
    <x v="6"/>
    <x v="3"/>
    <n v="3626"/>
    <n v="2525"/>
    <n v="11837"/>
    <n v="172"/>
  </r>
  <r>
    <x v="2"/>
    <x v="3"/>
    <n v="3747"/>
    <n v="2992"/>
    <n v="14907"/>
    <n v="53"/>
  </r>
  <r>
    <x v="3"/>
    <x v="3"/>
    <n v="3454"/>
    <n v="2339"/>
    <n v="10498"/>
    <n v="46"/>
  </r>
  <r>
    <x v="5"/>
    <x v="3"/>
    <n v="3779"/>
    <n v="1030"/>
    <n v="7990"/>
    <n v="14"/>
  </r>
  <r>
    <x v="1"/>
    <x v="3"/>
    <n v="3408"/>
    <n v="2107"/>
    <n v="12598"/>
    <n v="104"/>
  </r>
  <r>
    <x v="0"/>
    <x v="3"/>
    <n v="3765"/>
    <n v="1465"/>
    <n v="7778"/>
    <n v="18"/>
  </r>
  <r>
    <x v="1"/>
    <x v="4"/>
    <n v="8518"/>
    <n v="6000"/>
    <n v="121288"/>
    <n v="73"/>
  </r>
  <r>
    <x v="3"/>
    <x v="4"/>
    <n v="8715"/>
    <n v="8755"/>
    <n v="99600"/>
    <n v="197"/>
  </r>
  <r>
    <x v="0"/>
    <x v="4"/>
    <n v="9356"/>
    <n v="9032"/>
    <n v="149388"/>
    <n v="132"/>
  </r>
  <r>
    <x v="2"/>
    <x v="4"/>
    <n v="9224"/>
    <n v="6542"/>
    <n v="75546"/>
    <n v="219"/>
  </r>
  <r>
    <x v="5"/>
    <x v="4"/>
    <n v="9388"/>
    <n v="5739"/>
    <n v="148721"/>
    <n v="32"/>
  </r>
  <r>
    <x v="6"/>
    <x v="4"/>
    <n v="8909"/>
    <n v="10197"/>
    <n v="116374"/>
    <n v="194"/>
  </r>
  <r>
    <x v="4"/>
    <x v="4"/>
    <n v="9005"/>
    <n v="8086"/>
    <n v="177201"/>
    <n v="96"/>
  </r>
  <r>
    <x v="1"/>
    <x v="5"/>
    <n v="1668"/>
    <n v="229"/>
    <n v="2642"/>
    <n v="7"/>
  </r>
  <r>
    <x v="0"/>
    <x v="5"/>
    <n v="1691"/>
    <n v="458"/>
    <n v="7169"/>
    <n v="0"/>
  </r>
  <r>
    <x v="2"/>
    <x v="5"/>
    <n v="1691"/>
    <n v="605"/>
    <n v="7057"/>
    <n v="0"/>
  </r>
  <r>
    <x v="4"/>
    <x v="5"/>
    <n v="1691"/>
    <n v="408"/>
    <n v="6674"/>
    <n v="3"/>
  </r>
  <r>
    <x v="5"/>
    <x v="5"/>
    <n v="1691"/>
    <n v="449"/>
    <n v="6640"/>
    <n v="0"/>
  </r>
  <r>
    <x v="6"/>
    <x v="5"/>
    <n v="1688"/>
    <n v="482"/>
    <n v="7495"/>
    <n v="9"/>
  </r>
  <r>
    <x v="3"/>
    <x v="5"/>
    <n v="1679"/>
    <n v="749"/>
    <n v="11747"/>
    <n v="11"/>
  </r>
  <r>
    <x v="4"/>
    <x v="6"/>
    <n v="4432"/>
    <n v="140"/>
    <n v="15268"/>
    <n v="1"/>
  </r>
  <r>
    <x v="0"/>
    <x v="6"/>
    <n v="4432"/>
    <n v="0"/>
    <n v="0"/>
    <n v="0"/>
  </r>
  <r>
    <x v="2"/>
    <x v="6"/>
    <n v="4432"/>
    <n v="0"/>
    <n v="0"/>
    <n v="0"/>
  </r>
  <r>
    <x v="6"/>
    <x v="6"/>
    <n v="4431"/>
    <n v="130"/>
    <n v="12952"/>
    <n v="6"/>
  </r>
  <r>
    <x v="3"/>
    <x v="6"/>
    <n v="4425"/>
    <n v="463"/>
    <n v="13088"/>
    <n v="2"/>
  </r>
  <r>
    <x v="1"/>
    <x v="6"/>
    <n v="4423"/>
    <n v="94"/>
    <n v="7637"/>
    <n v="5"/>
  </r>
  <r>
    <x v="5"/>
    <x v="6"/>
    <n v="4437"/>
    <n v="252"/>
    <n v="35186"/>
    <n v="5"/>
  </r>
  <r>
    <x v="0"/>
    <x v="7"/>
    <n v="586"/>
    <n v="69"/>
    <n v="3411"/>
    <n v="1"/>
  </r>
  <r>
    <x v="2"/>
    <x v="7"/>
    <n v="585"/>
    <n v="79"/>
    <n v="5040"/>
    <n v="0"/>
  </r>
  <r>
    <x v="5"/>
    <x v="7"/>
    <n v="586"/>
    <n v="39"/>
    <n v="1623"/>
    <n v="0"/>
  </r>
  <r>
    <x v="6"/>
    <x v="7"/>
    <n v="584"/>
    <n v="58"/>
    <n v="2941"/>
    <n v="0"/>
  </r>
  <r>
    <x v="3"/>
    <x v="7"/>
    <n v="584"/>
    <n v="54"/>
    <n v="2027"/>
    <n v="1"/>
  </r>
  <r>
    <x v="1"/>
    <x v="7"/>
    <n v="583"/>
    <n v="87"/>
    <n v="3874"/>
    <n v="1"/>
  </r>
  <r>
    <x v="4"/>
    <x v="7"/>
    <n v="585"/>
    <n v="69"/>
    <n v="5751"/>
    <n v="1"/>
  </r>
  <r>
    <x v="5"/>
    <x v="8"/>
    <n v="585"/>
    <n v="106"/>
    <n v="2748"/>
    <n v="0"/>
  </r>
  <r>
    <x v="2"/>
    <x v="8"/>
    <n v="585"/>
    <n v="89"/>
    <n v="1849"/>
    <n v="0"/>
  </r>
  <r>
    <x v="3"/>
    <x v="8"/>
    <n v="581"/>
    <n v="126"/>
    <n v="2393"/>
    <n v="1"/>
  </r>
  <r>
    <x v="0"/>
    <x v="8"/>
    <n v="585"/>
    <n v="72"/>
    <n v="2015"/>
    <n v="0"/>
  </r>
  <r>
    <x v="4"/>
    <x v="8"/>
    <n v="585"/>
    <n v="99"/>
    <n v="2184"/>
    <n v="4"/>
  </r>
  <r>
    <x v="1"/>
    <x v="8"/>
    <n v="580"/>
    <n v="70"/>
    <n v="1564"/>
    <n v="1"/>
  </r>
  <r>
    <x v="6"/>
    <x v="8"/>
    <n v="581"/>
    <n v="87"/>
    <n v="1847"/>
    <n v="0"/>
  </r>
  <r>
    <x v="1"/>
    <x v="9"/>
    <n v="6240"/>
    <n v="9230"/>
    <n v="48802"/>
    <n v="191"/>
  </r>
  <r>
    <x v="2"/>
    <x v="9"/>
    <n v="7144"/>
    <n v="9642"/>
    <n v="51355"/>
    <n v="178"/>
  </r>
  <r>
    <x v="4"/>
    <x v="9"/>
    <n v="6966"/>
    <n v="9007"/>
    <n v="48971"/>
    <n v="257"/>
  </r>
  <r>
    <x v="6"/>
    <x v="9"/>
    <n v="6709"/>
    <n v="9956"/>
    <n v="52352"/>
    <n v="252"/>
  </r>
  <r>
    <x v="3"/>
    <x v="9"/>
    <n v="6457"/>
    <n v="9446"/>
    <n v="46466"/>
    <n v="217"/>
  </r>
  <r>
    <x v="5"/>
    <x v="9"/>
    <n v="7279"/>
    <n v="4752"/>
    <n v="31801"/>
    <n v="73"/>
  </r>
  <r>
    <x v="0"/>
    <x v="9"/>
    <n v="7206"/>
    <n v="7104"/>
    <n v="41554"/>
    <n v="62"/>
  </r>
  <r>
    <x v="5"/>
    <x v="10"/>
    <n v="3842"/>
    <n v="2258"/>
    <n v="21761"/>
    <n v="2"/>
  </r>
  <r>
    <x v="4"/>
    <x v="10"/>
    <n v="3752"/>
    <n v="4066"/>
    <n v="33298"/>
    <n v="81"/>
  </r>
  <r>
    <x v="6"/>
    <x v="10"/>
    <n v="3671"/>
    <n v="3963"/>
    <n v="28925"/>
    <n v="29"/>
  </r>
  <r>
    <x v="3"/>
    <x v="10"/>
    <n v="3642"/>
    <n v="3271"/>
    <n v="25138"/>
    <n v="79"/>
  </r>
  <r>
    <x v="0"/>
    <x v="10"/>
    <n v="3840"/>
    <n v="3165"/>
    <n v="28555"/>
    <n v="15"/>
  </r>
  <r>
    <x v="1"/>
    <x v="10"/>
    <n v="3563"/>
    <n v="4209"/>
    <n v="34363"/>
    <n v="54"/>
  </r>
  <r>
    <x v="2"/>
    <x v="10"/>
    <n v="3825"/>
    <n v="3660"/>
    <n v="21398"/>
    <n v="73"/>
  </r>
  <r>
    <x v="1"/>
    <x v="11"/>
    <n v="26"/>
    <n v="28"/>
    <n v="28"/>
    <n v="0"/>
  </r>
  <r>
    <x v="3"/>
    <x v="11"/>
    <n v="26"/>
    <n v="46"/>
    <n v="3416"/>
    <n v="0"/>
  </r>
  <r>
    <x v="4"/>
    <x v="11"/>
    <n v="26"/>
    <n v="124"/>
    <n v="2156"/>
    <n v="0"/>
  </r>
  <r>
    <x v="2"/>
    <x v="11"/>
    <n v="26"/>
    <n v="122"/>
    <n v="1883"/>
    <n v="0"/>
  </r>
  <r>
    <x v="6"/>
    <x v="11"/>
    <n v="26"/>
    <n v="108"/>
    <n v="1653"/>
    <n v="0"/>
  </r>
  <r>
    <x v="5"/>
    <x v="11"/>
    <n v="26"/>
    <n v="45"/>
    <n v="638"/>
    <n v="0"/>
  </r>
  <r>
    <x v="0"/>
    <x v="11"/>
    <n v="26"/>
    <n v="86"/>
    <n v="3390"/>
    <n v="0"/>
  </r>
  <r>
    <x v="6"/>
    <x v="12"/>
    <n v="857"/>
    <n v="761"/>
    <n v="6386"/>
    <n v="11"/>
  </r>
  <r>
    <x v="3"/>
    <x v="12"/>
    <n v="846"/>
    <n v="500"/>
    <n v="5277"/>
    <n v="7"/>
  </r>
  <r>
    <x v="0"/>
    <x v="12"/>
    <n v="876"/>
    <n v="516"/>
    <n v="5148"/>
    <n v="4"/>
  </r>
  <r>
    <x v="4"/>
    <x v="12"/>
    <n v="867"/>
    <n v="544"/>
    <n v="5314"/>
    <n v="10"/>
  </r>
  <r>
    <x v="2"/>
    <x v="12"/>
    <n v="872"/>
    <n v="394"/>
    <n v="4558"/>
    <n v="5"/>
  </r>
  <r>
    <x v="5"/>
    <x v="12"/>
    <n v="882"/>
    <n v="349"/>
    <n v="2357"/>
    <n v="6"/>
  </r>
  <r>
    <x v="1"/>
    <x v="12"/>
    <n v="839"/>
    <n v="223"/>
    <n v="2590"/>
    <n v="6"/>
  </r>
  <r>
    <x v="4"/>
    <x v="13"/>
    <n v="177"/>
    <n v="567"/>
    <n v="3591"/>
    <n v="4"/>
  </r>
  <r>
    <x v="2"/>
    <x v="13"/>
    <n v="189"/>
    <n v="475"/>
    <n v="2763"/>
    <n v="12"/>
  </r>
  <r>
    <x v="6"/>
    <x v="13"/>
    <n v="173"/>
    <n v="457"/>
    <n v="2477"/>
    <n v="13"/>
  </r>
  <r>
    <x v="0"/>
    <x v="13"/>
    <n v="197"/>
    <n v="393"/>
    <n v="2426"/>
    <n v="8"/>
  </r>
  <r>
    <x v="1"/>
    <x v="13"/>
    <n v="152"/>
    <n v="517"/>
    <n v="2723"/>
    <n v="6"/>
  </r>
  <r>
    <x v="5"/>
    <x v="13"/>
    <n v="197"/>
    <n v="230"/>
    <n v="1038"/>
    <n v="0"/>
  </r>
  <r>
    <x v="3"/>
    <x v="13"/>
    <n v="160"/>
    <n v="528"/>
    <n v="2325"/>
    <n v="8"/>
  </r>
  <r>
    <x v="2"/>
    <x v="14"/>
    <n v="7700"/>
    <n v="1639"/>
    <n v="39809"/>
    <n v="8"/>
  </r>
  <r>
    <x v="5"/>
    <x v="14"/>
    <n v="7723"/>
    <n v="1298"/>
    <n v="28475"/>
    <n v="9"/>
  </r>
  <r>
    <x v="1"/>
    <x v="14"/>
    <n v="7638"/>
    <n v="1076"/>
    <n v="28331"/>
    <n v="30"/>
  </r>
  <r>
    <x v="4"/>
    <x v="14"/>
    <n v="7692"/>
    <n v="1980"/>
    <n v="49821"/>
    <n v="22"/>
  </r>
  <r>
    <x v="0"/>
    <x v="14"/>
    <n v="7714"/>
    <n v="1467"/>
    <n v="38945"/>
    <n v="14"/>
  </r>
  <r>
    <x v="6"/>
    <x v="14"/>
    <n v="7670"/>
    <n v="1772"/>
    <n v="41134"/>
    <n v="16"/>
  </r>
  <r>
    <x v="3"/>
    <x v="14"/>
    <n v="7654"/>
    <n v="1393"/>
    <n v="38187"/>
    <n v="16"/>
  </r>
  <r>
    <x v="0"/>
    <x v="15"/>
    <n v="2975"/>
    <n v="735"/>
    <n v="10437"/>
    <n v="4"/>
  </r>
  <r>
    <x v="1"/>
    <x v="15"/>
    <n v="2924"/>
    <n v="771"/>
    <n v="9018"/>
    <n v="18"/>
  </r>
  <r>
    <x v="4"/>
    <x v="15"/>
    <n v="2965"/>
    <n v="901"/>
    <n v="11535"/>
    <n v="19"/>
  </r>
  <r>
    <x v="6"/>
    <x v="15"/>
    <n v="2946"/>
    <n v="954"/>
    <n v="11610"/>
    <n v="14"/>
  </r>
  <r>
    <x v="3"/>
    <x v="15"/>
    <n v="2932"/>
    <n v="621"/>
    <n v="7429"/>
    <n v="8"/>
  </r>
  <r>
    <x v="5"/>
    <x v="15"/>
    <n v="2980"/>
    <n v="576"/>
    <n v="6439"/>
    <n v="5"/>
  </r>
  <r>
    <x v="2"/>
    <x v="15"/>
    <n v="2971"/>
    <n v="968"/>
    <n v="11223"/>
    <n v="6"/>
  </r>
  <r>
    <x v="2"/>
    <x v="16"/>
    <n v="358"/>
    <n v="0"/>
    <n v="0"/>
    <n v="0"/>
  </r>
  <r>
    <x v="6"/>
    <x v="16"/>
    <n v="349"/>
    <n v="0"/>
    <n v="0"/>
    <n v="0"/>
  </r>
  <r>
    <x v="0"/>
    <x v="16"/>
    <n v="358"/>
    <n v="0"/>
    <n v="0"/>
    <n v="0"/>
  </r>
  <r>
    <x v="5"/>
    <x v="16"/>
    <n v="365"/>
    <n v="1064"/>
    <n v="9332"/>
    <n v="7"/>
  </r>
  <r>
    <x v="4"/>
    <x v="16"/>
    <n v="358"/>
    <n v="942"/>
    <n v="7558"/>
    <n v="9"/>
  </r>
  <r>
    <x v="3"/>
    <x v="16"/>
    <n v="349"/>
    <n v="698"/>
    <n v="6013"/>
    <n v="14"/>
  </r>
  <r>
    <x v="1"/>
    <x v="16"/>
    <n v="335"/>
    <n v="0"/>
    <n v="0"/>
    <n v="0"/>
  </r>
  <r>
    <x v="6"/>
    <x v="17"/>
    <n v="731"/>
    <n v="659"/>
    <n v="10965"/>
    <n v="7"/>
  </r>
  <r>
    <x v="4"/>
    <x v="17"/>
    <n v="735"/>
    <n v="765"/>
    <n v="8517"/>
    <n v="4"/>
  </r>
  <r>
    <x v="5"/>
    <x v="17"/>
    <n v="744"/>
    <n v="323"/>
    <n v="3157"/>
    <n v="2"/>
  </r>
  <r>
    <x v="1"/>
    <x v="17"/>
    <n v="719"/>
    <n v="525"/>
    <n v="10263"/>
    <n v="10"/>
  </r>
  <r>
    <x v="2"/>
    <x v="17"/>
    <n v="740"/>
    <n v="572"/>
    <n v="8851"/>
    <n v="5"/>
  </r>
  <r>
    <x v="3"/>
    <x v="17"/>
    <n v="724"/>
    <n v="601"/>
    <n v="10628"/>
    <n v="5"/>
  </r>
  <r>
    <x v="0"/>
    <x v="17"/>
    <n v="742"/>
    <n v="462"/>
    <n v="462"/>
    <n v="2"/>
  </r>
  <r>
    <x v="5"/>
    <x v="18"/>
    <n v="4024"/>
    <n v="1099"/>
    <n v="14470"/>
    <n v="17"/>
  </r>
  <r>
    <x v="2"/>
    <x v="18"/>
    <n v="3949"/>
    <n v="0"/>
    <n v="0"/>
    <n v="0"/>
  </r>
  <r>
    <x v="1"/>
    <x v="18"/>
    <n v="3812"/>
    <n v="1121"/>
    <n v="16282"/>
    <n v="26"/>
  </r>
  <r>
    <x v="0"/>
    <x v="18"/>
    <n v="4007"/>
    <n v="3467"/>
    <n v="37197"/>
    <n v="58"/>
  </r>
  <r>
    <x v="3"/>
    <x v="18"/>
    <n v="3883"/>
    <n v="1735"/>
    <n v="18827"/>
    <n v="71"/>
  </r>
  <r>
    <x v="6"/>
    <x v="18"/>
    <n v="3925"/>
    <n v="1708"/>
    <n v="22259"/>
    <n v="42"/>
  </r>
  <r>
    <x v="4"/>
    <x v="18"/>
    <n v="3949"/>
    <n v="1799"/>
    <n v="24853"/>
    <n v="24"/>
  </r>
  <r>
    <x v="0"/>
    <x v="19"/>
    <n v="8638"/>
    <n v="846"/>
    <n v="26110"/>
    <n v="29"/>
  </r>
  <r>
    <x v="3"/>
    <x v="19"/>
    <n v="8580"/>
    <n v="502"/>
    <n v="15702"/>
    <n v="29"/>
  </r>
  <r>
    <x v="4"/>
    <x v="19"/>
    <n v="8609"/>
    <n v="514"/>
    <n v="19278"/>
    <n v="14"/>
  </r>
  <r>
    <x v="1"/>
    <x v="19"/>
    <n v="8551"/>
    <n v="256"/>
    <n v="9959"/>
    <n v="15"/>
  </r>
  <r>
    <x v="2"/>
    <x v="19"/>
    <n v="8609"/>
    <n v="0"/>
    <n v="0"/>
    <n v="0"/>
  </r>
  <r>
    <x v="6"/>
    <x v="19"/>
    <n v="8595"/>
    <n v="414"/>
    <n v="12334"/>
    <n v="15"/>
  </r>
  <r>
    <x v="5"/>
    <x v="19"/>
    <n v="8648"/>
    <n v="199"/>
    <n v="12312"/>
    <n v="10"/>
  </r>
  <r>
    <x v="5"/>
    <x v="20"/>
    <n v="3523"/>
    <n v="870"/>
    <n v="15851"/>
    <n v="8"/>
  </r>
  <r>
    <x v="0"/>
    <x v="20"/>
    <n v="3515"/>
    <n v="909"/>
    <n v="15432"/>
    <n v="9"/>
  </r>
  <r>
    <x v="4"/>
    <x v="20"/>
    <n v="3493"/>
    <n v="1169"/>
    <n v="17226"/>
    <n v="5"/>
  </r>
  <r>
    <x v="3"/>
    <x v="20"/>
    <n v="3478"/>
    <n v="761"/>
    <n v="10703"/>
    <n v="20"/>
  </r>
  <r>
    <x v="6"/>
    <x v="20"/>
    <n v="3488"/>
    <n v="892"/>
    <n v="15006"/>
    <n v="10"/>
  </r>
  <r>
    <x v="1"/>
    <x v="20"/>
    <n v="3458"/>
    <n v="648"/>
    <n v="12738"/>
    <n v="11"/>
  </r>
  <r>
    <x v="2"/>
    <x v="20"/>
    <n v="3506"/>
    <n v="1019"/>
    <n v="18163"/>
    <n v="13"/>
  </r>
  <r>
    <x v="4"/>
    <x v="21"/>
    <n v="123"/>
    <n v="24"/>
    <n v="2360"/>
    <n v="1"/>
  </r>
  <r>
    <x v="3"/>
    <x v="21"/>
    <n v="121"/>
    <n v="28"/>
    <n v="2977"/>
    <n v="0"/>
  </r>
  <r>
    <x v="5"/>
    <x v="21"/>
    <n v="124"/>
    <n v="12"/>
    <n v="2071"/>
    <n v="1"/>
  </r>
  <r>
    <x v="1"/>
    <x v="21"/>
    <n v="121"/>
    <n v="6"/>
    <n v="1659"/>
    <n v="2"/>
  </r>
  <r>
    <x v="2"/>
    <x v="21"/>
    <n v="123"/>
    <n v="25"/>
    <n v="2579"/>
    <n v="0"/>
  </r>
  <r>
    <x v="6"/>
    <x v="21"/>
    <n v="122"/>
    <n v="22"/>
    <n v="2730"/>
    <n v="1"/>
  </r>
  <r>
    <x v="0"/>
    <x v="21"/>
    <n v="123"/>
    <n v="21"/>
    <n v="2328"/>
    <n v="0"/>
  </r>
  <r>
    <x v="6"/>
    <x v="22"/>
    <n v="6443"/>
    <n v="807"/>
    <n v="19945"/>
    <n v="21"/>
  </r>
  <r>
    <x v="0"/>
    <x v="22"/>
    <n v="6457"/>
    <n v="429"/>
    <n v="25011"/>
    <n v="0"/>
  </r>
  <r>
    <x v="3"/>
    <x v="22"/>
    <n v="6422"/>
    <n v="1016"/>
    <n v="65351"/>
    <n v="1"/>
  </r>
  <r>
    <x v="5"/>
    <x v="22"/>
    <n v="6463"/>
    <n v="613"/>
    <n v="24982"/>
    <n v="6"/>
  </r>
  <r>
    <x v="1"/>
    <x v="22"/>
    <n v="6421"/>
    <n v="785"/>
    <n v="27393"/>
    <n v="16"/>
  </r>
  <r>
    <x v="4"/>
    <x v="22"/>
    <n v="6450"/>
    <n v="793"/>
    <n v="31269"/>
    <n v="7"/>
  </r>
  <r>
    <x v="2"/>
    <x v="22"/>
    <n v="6457"/>
    <n v="758"/>
    <n v="32383"/>
    <n v="7"/>
  </r>
  <r>
    <x v="6"/>
    <x v="23"/>
    <n v="1634"/>
    <n v="745"/>
    <n v="14791"/>
    <n v="5"/>
  </r>
  <r>
    <x v="4"/>
    <x v="23"/>
    <n v="1640"/>
    <n v="771"/>
    <n v="-173528"/>
    <n v="6"/>
  </r>
  <r>
    <x v="2"/>
    <x v="23"/>
    <n v="1646"/>
    <n v="725"/>
    <n v="11914"/>
    <n v="6"/>
  </r>
  <r>
    <x v="3"/>
    <x v="23"/>
    <n v="1629"/>
    <n v="666"/>
    <n v="13103"/>
    <n v="9"/>
  </r>
  <r>
    <x v="5"/>
    <x v="23"/>
    <n v="1656"/>
    <n v="613"/>
    <n v="13663"/>
    <n v="2"/>
  </r>
  <r>
    <x v="1"/>
    <x v="23"/>
    <n v="1620"/>
    <n v="478"/>
    <n v="9262"/>
    <n v="4"/>
  </r>
  <r>
    <x v="0"/>
    <x v="23"/>
    <n v="1654"/>
    <n v="759"/>
    <n v="12073"/>
    <n v="8"/>
  </r>
  <r>
    <x v="4"/>
    <x v="24"/>
    <n v="1243"/>
    <n v="1489"/>
    <n v="11640"/>
    <n v="10"/>
  </r>
  <r>
    <x v="5"/>
    <x v="24"/>
    <n v="1255"/>
    <n v="1047"/>
    <n v="10481"/>
    <n v="2"/>
  </r>
  <r>
    <x v="1"/>
    <x v="24"/>
    <n v="1213"/>
    <n v="1773"/>
    <n v="11020"/>
    <n v="12"/>
  </r>
  <r>
    <x v="2"/>
    <x v="24"/>
    <n v="1253"/>
    <n v="935"/>
    <n v="9972"/>
    <n v="10"/>
  </r>
  <r>
    <x v="0"/>
    <x v="24"/>
    <n v="1253"/>
    <n v="582"/>
    <n v="5722"/>
    <n v="0"/>
  </r>
  <r>
    <x v="6"/>
    <x v="24"/>
    <n v="1233"/>
    <n v="2084"/>
    <n v="14234"/>
    <n v="13"/>
  </r>
  <r>
    <x v="3"/>
    <x v="24"/>
    <n v="1220"/>
    <n v="1927"/>
    <n v="7975"/>
    <n v="7"/>
  </r>
  <r>
    <x v="6"/>
    <x v="25"/>
    <n v="1611"/>
    <n v="1775"/>
    <n v="6577"/>
    <n v="48"/>
  </r>
  <r>
    <x v="3"/>
    <x v="25"/>
    <n v="1563"/>
    <n v="1505"/>
    <n v="10171"/>
    <n v="20"/>
  </r>
  <r>
    <x v="1"/>
    <x v="25"/>
    <n v="1543"/>
    <n v="1342"/>
    <n v="5536"/>
    <n v="42"/>
  </r>
  <r>
    <x v="4"/>
    <x v="25"/>
    <n v="1663"/>
    <n v="1168"/>
    <n v="4624"/>
    <n v="52"/>
  </r>
  <r>
    <x v="0"/>
    <x v="25"/>
    <n v="1703"/>
    <n v="672"/>
    <n v="672"/>
    <n v="10"/>
  </r>
  <r>
    <x v="2"/>
    <x v="25"/>
    <n v="1693"/>
    <n v="1134"/>
    <n v="6968"/>
    <n v="30"/>
  </r>
  <r>
    <x v="5"/>
    <x v="25"/>
    <n v="1711"/>
    <n v="572"/>
    <n v="572"/>
    <n v="8"/>
  </r>
  <r>
    <x v="0"/>
    <x v="26"/>
    <n v="61"/>
    <n v="112"/>
    <n v="2742"/>
    <n v="0"/>
  </r>
  <r>
    <x v="2"/>
    <x v="26"/>
    <n v="61"/>
    <n v="116"/>
    <n v="1583"/>
    <n v="1"/>
  </r>
  <r>
    <x v="3"/>
    <x v="26"/>
    <n v="54"/>
    <n v="201"/>
    <n v="3947"/>
    <n v="3"/>
  </r>
  <r>
    <x v="1"/>
    <x v="26"/>
    <n v="51"/>
    <n v="94"/>
    <n v="2753"/>
    <n v="4"/>
  </r>
  <r>
    <x v="4"/>
    <x v="26"/>
    <n v="60"/>
    <n v="151"/>
    <n v="1354"/>
    <n v="5"/>
  </r>
  <r>
    <x v="6"/>
    <x v="26"/>
    <n v="55"/>
    <n v="138"/>
    <n v="3261"/>
    <n v="1"/>
  </r>
  <r>
    <x v="5"/>
    <x v="26"/>
    <n v="64"/>
    <n v="40"/>
    <n v="5213"/>
    <n v="3"/>
  </r>
  <r>
    <x v="2"/>
    <x v="27"/>
    <n v="1964"/>
    <n v="1730"/>
    <n v="29310"/>
    <n v="40"/>
  </r>
  <r>
    <x v="5"/>
    <x v="27"/>
    <n v="1982"/>
    <n v="1313"/>
    <n v="23900"/>
    <n v="13"/>
  </r>
  <r>
    <x v="4"/>
    <x v="27"/>
    <n v="1924"/>
    <n v="1954"/>
    <n v="32178"/>
    <n v="21"/>
  </r>
  <r>
    <x v="1"/>
    <x v="27"/>
    <n v="1820"/>
    <n v="1749"/>
    <n v="28064"/>
    <n v="30"/>
  </r>
  <r>
    <x v="6"/>
    <x v="27"/>
    <n v="1903"/>
    <n v="2344"/>
    <n v="33490"/>
    <n v="38"/>
  </r>
  <r>
    <x v="0"/>
    <x v="27"/>
    <n v="1969"/>
    <n v="1341"/>
    <n v="27098"/>
    <n v="5"/>
  </r>
  <r>
    <x v="3"/>
    <x v="27"/>
    <n v="1865"/>
    <n v="1763"/>
    <n v="27894"/>
    <n v="45"/>
  </r>
  <r>
    <x v="1"/>
    <x v="28"/>
    <n v="92"/>
    <n v="155"/>
    <n v="1680"/>
    <n v="1"/>
  </r>
  <r>
    <x v="2"/>
    <x v="28"/>
    <n v="95"/>
    <n v="133"/>
    <n v="2221"/>
    <n v="0"/>
  </r>
  <r>
    <x v="4"/>
    <x v="28"/>
    <n v="95"/>
    <n v="168"/>
    <n v="2103"/>
    <n v="0"/>
  </r>
  <r>
    <x v="0"/>
    <x v="28"/>
    <n v="95"/>
    <n v="0"/>
    <n v="0"/>
    <n v="0"/>
  </r>
  <r>
    <x v="5"/>
    <x v="28"/>
    <n v="95"/>
    <n v="183"/>
    <n v="2566"/>
    <n v="0"/>
  </r>
  <r>
    <x v="6"/>
    <x v="28"/>
    <n v="95"/>
    <n v="74"/>
    <n v="778"/>
    <n v="3"/>
  </r>
  <r>
    <x v="3"/>
    <x v="28"/>
    <n v="92"/>
    <n v="86"/>
    <n v="1037"/>
    <n v="0"/>
  </r>
  <r>
    <x v="6"/>
    <x v="29"/>
    <n v="324"/>
    <n v="265"/>
    <n v="2860"/>
    <n v="3"/>
  </r>
  <r>
    <x v="5"/>
    <x v="29"/>
    <n v="332"/>
    <n v="311"/>
    <n v="3863"/>
    <n v="0"/>
  </r>
  <r>
    <x v="2"/>
    <x v="29"/>
    <n v="332"/>
    <n v="445"/>
    <n v="4303"/>
    <n v="4"/>
  </r>
  <r>
    <x v="4"/>
    <x v="29"/>
    <n v="328"/>
    <n v="344"/>
    <n v="4063"/>
    <n v="4"/>
  </r>
  <r>
    <x v="0"/>
    <x v="29"/>
    <n v="332"/>
    <n v="180"/>
    <n v="1984"/>
    <n v="0"/>
  </r>
  <r>
    <x v="1"/>
    <x v="29"/>
    <n v="317"/>
    <n v="281"/>
    <n v="2276"/>
    <n v="1"/>
  </r>
  <r>
    <x v="3"/>
    <x v="29"/>
    <n v="321"/>
    <n v="258"/>
    <n v="2930"/>
    <n v="4"/>
  </r>
  <r>
    <x v="2"/>
    <x v="30"/>
    <n v="416"/>
    <n v="69"/>
    <n v="2653"/>
    <n v="1"/>
  </r>
  <r>
    <x v="0"/>
    <x v="30"/>
    <n v="416"/>
    <n v="0"/>
    <n v="0"/>
    <n v="0"/>
  </r>
  <r>
    <x v="4"/>
    <x v="30"/>
    <n v="415"/>
    <n v="31"/>
    <n v="912"/>
    <n v="4"/>
  </r>
  <r>
    <x v="3"/>
    <x v="30"/>
    <n v="409"/>
    <n v="0"/>
    <n v="0"/>
    <n v="0"/>
  </r>
  <r>
    <x v="5"/>
    <x v="30"/>
    <n v="417"/>
    <n v="21"/>
    <n v="1660"/>
    <n v="1"/>
  </r>
  <r>
    <x v="1"/>
    <x v="30"/>
    <n v="409"/>
    <n v="64"/>
    <n v="2474"/>
    <n v="0"/>
  </r>
  <r>
    <x v="6"/>
    <x v="30"/>
    <n v="411"/>
    <n v="13"/>
    <n v="1314"/>
    <n v="2"/>
  </r>
  <r>
    <x v="2"/>
    <x v="31"/>
    <n v="15830"/>
    <n v="369"/>
    <n v="369"/>
    <n v="11"/>
  </r>
  <r>
    <x v="0"/>
    <x v="31"/>
    <n v="15836"/>
    <n v="321"/>
    <n v="49180"/>
    <n v="6"/>
  </r>
  <r>
    <x v="6"/>
    <x v="31"/>
    <n v="15809"/>
    <n v="204"/>
    <n v="16882"/>
    <n v="11"/>
  </r>
  <r>
    <x v="3"/>
    <x v="31"/>
    <n v="15798"/>
    <n v="471"/>
    <n v="58378"/>
    <n v="-27"/>
  </r>
  <r>
    <x v="4"/>
    <x v="31"/>
    <n v="15819"/>
    <n v="690"/>
    <n v="36765"/>
    <n v="10"/>
  </r>
  <r>
    <x v="1"/>
    <x v="31"/>
    <n v="15825"/>
    <n v="483"/>
    <n v="463"/>
    <n v="21"/>
  </r>
  <r>
    <x v="5"/>
    <x v="31"/>
    <n v="15846"/>
    <n v="264"/>
    <n v="18702"/>
    <n v="10"/>
  </r>
  <r>
    <x v="6"/>
    <x v="32"/>
    <n v="635"/>
    <n v="597"/>
    <n v="14784"/>
    <n v="9"/>
  </r>
  <r>
    <x v="1"/>
    <x v="32"/>
    <n v="619"/>
    <n v="460"/>
    <n v="8172"/>
    <n v="5"/>
  </r>
  <r>
    <x v="3"/>
    <x v="32"/>
    <n v="626"/>
    <n v="289"/>
    <n v="7963"/>
    <n v="7"/>
  </r>
  <r>
    <x v="0"/>
    <x v="32"/>
    <n v="651"/>
    <n v="196"/>
    <n v="7874"/>
    <n v="9"/>
  </r>
  <r>
    <x v="2"/>
    <x v="32"/>
    <n v="642"/>
    <n v="212"/>
    <n v="6375"/>
    <n v="7"/>
  </r>
  <r>
    <x v="5"/>
    <x v="32"/>
    <n v="654"/>
    <n v="220"/>
    <n v="8367"/>
    <n v="3"/>
  </r>
  <r>
    <x v="4"/>
    <x v="32"/>
    <n v="635"/>
    <n v="0"/>
    <n v="0"/>
    <n v="0"/>
  </r>
  <r>
    <x v="6"/>
    <x v="33"/>
    <n v="801"/>
    <n v="1018"/>
    <n v="6260"/>
    <n v="21"/>
  </r>
  <r>
    <x v="2"/>
    <x v="33"/>
    <n v="832"/>
    <n v="986"/>
    <n v="4317"/>
    <n v="2"/>
  </r>
  <r>
    <x v="1"/>
    <x v="33"/>
    <n v="759"/>
    <n v="1105"/>
    <n v="6207"/>
    <n v="20"/>
  </r>
  <r>
    <x v="4"/>
    <x v="33"/>
    <n v="830"/>
    <n v="1264"/>
    <n v="6258"/>
    <n v="29"/>
  </r>
  <r>
    <x v="3"/>
    <x v="33"/>
    <n v="780"/>
    <n v="870"/>
    <n v="6499"/>
    <n v="21"/>
  </r>
  <r>
    <x v="5"/>
    <x v="33"/>
    <n v="847"/>
    <n v="994"/>
    <n v="2747"/>
    <n v="15"/>
  </r>
  <r>
    <x v="0"/>
    <x v="33"/>
    <n v="832"/>
    <n v="1131"/>
    <n v="7899"/>
    <n v="0"/>
  </r>
  <r>
    <x v="0"/>
    <x v="34"/>
    <n v="25170"/>
    <n v="531"/>
    <n v="58961"/>
    <n v="6"/>
  </r>
  <r>
    <x v="1"/>
    <x v="34"/>
    <n v="25126"/>
    <n v="534"/>
    <n v="57397"/>
    <n v="9"/>
  </r>
  <r>
    <x v="3"/>
    <x v="34"/>
    <n v="25132"/>
    <n v="715"/>
    <n v="62276"/>
    <n v="6"/>
  </r>
  <r>
    <x v="6"/>
    <x v="34"/>
    <n v="25145"/>
    <n v="777"/>
    <n v="73546"/>
    <n v="13"/>
  </r>
  <r>
    <x v="2"/>
    <x v="34"/>
    <n v="25164"/>
    <n v="753"/>
    <n v="82737"/>
    <n v="14"/>
  </r>
  <r>
    <x v="5"/>
    <x v="34"/>
    <n v="25172"/>
    <n v="545"/>
    <n v="51839"/>
    <n v="2"/>
  </r>
  <r>
    <x v="4"/>
    <x v="34"/>
    <n v="25150"/>
    <n v="644"/>
    <n v="68869"/>
    <n v="5"/>
  </r>
  <r>
    <x v="4"/>
    <x v="35"/>
    <n v="3489"/>
    <n v="1533"/>
    <n v="21862"/>
    <n v="47"/>
  </r>
  <r>
    <x v="2"/>
    <x v="35"/>
    <n v="3515"/>
    <n v="928"/>
    <n v="24569"/>
    <n v="26"/>
  </r>
  <r>
    <x v="1"/>
    <x v="35"/>
    <n v="3382"/>
    <n v="1320"/>
    <n v="54635"/>
    <n v="38"/>
  </r>
  <r>
    <x v="5"/>
    <x v="35"/>
    <n v="3539"/>
    <n v="932"/>
    <n v="17997"/>
    <n v="10"/>
  </r>
  <r>
    <x v="3"/>
    <x v="35"/>
    <n v="3422"/>
    <n v="1396"/>
    <n v="22104"/>
    <n v="40"/>
  </r>
  <r>
    <x v="6"/>
    <x v="35"/>
    <n v="3442"/>
    <n v="1733"/>
    <n v="25635"/>
    <n v="20"/>
  </r>
  <r>
    <x v="0"/>
    <x v="35"/>
    <n v="3529"/>
    <n v="944"/>
    <n v="24643"/>
    <n v="14"/>
  </r>
  <r>
    <x v="4"/>
    <x v="36"/>
    <n v="541"/>
    <n v="747"/>
    <n v="10562"/>
    <n v="5"/>
  </r>
  <r>
    <x v="6"/>
    <x v="36"/>
    <n v="536"/>
    <n v="1117"/>
    <n v="8503"/>
    <n v="13"/>
  </r>
  <r>
    <x v="2"/>
    <x v="36"/>
    <n v="549"/>
    <n v="1244"/>
    <n v="11614"/>
    <n v="8"/>
  </r>
  <r>
    <x v="5"/>
    <x v="36"/>
    <n v="551"/>
    <n v="377"/>
    <n v="377"/>
    <n v="1"/>
  </r>
  <r>
    <x v="3"/>
    <x v="36"/>
    <n v="523"/>
    <n v="848"/>
    <n v="17387"/>
    <n v="14"/>
  </r>
  <r>
    <x v="0"/>
    <x v="36"/>
    <n v="550"/>
    <n v="494"/>
    <n v="494"/>
    <n v="1"/>
  </r>
  <r>
    <x v="1"/>
    <x v="36"/>
    <n v="509"/>
    <n v="1089"/>
    <n v="20812"/>
    <n v="13"/>
  </r>
  <r>
    <x v="0"/>
    <x v="37"/>
    <n v="326"/>
    <n v="280"/>
    <n v="4041"/>
    <n v="1"/>
  </r>
  <r>
    <x v="2"/>
    <x v="37"/>
    <n v="325"/>
    <n v="325"/>
    <n v="5423"/>
    <n v="3"/>
  </r>
  <r>
    <x v="6"/>
    <x v="37"/>
    <n v="316"/>
    <n v="410"/>
    <n v="4484"/>
    <n v="5"/>
  </r>
  <r>
    <x v="5"/>
    <x v="37"/>
    <n v="328"/>
    <n v="269"/>
    <n v="3474"/>
    <n v="2"/>
  </r>
  <r>
    <x v="3"/>
    <x v="37"/>
    <n v="311"/>
    <n v="305"/>
    <n v="6499"/>
    <n v="8"/>
  </r>
  <r>
    <x v="4"/>
    <x v="37"/>
    <n v="322"/>
    <n v="361"/>
    <n v="5554"/>
    <n v="6"/>
  </r>
  <r>
    <x v="1"/>
    <x v="37"/>
    <n v="303"/>
    <n v="328"/>
    <n v="5090"/>
    <n v="14"/>
  </r>
  <r>
    <x v="3"/>
    <x v="38"/>
    <n v="7162"/>
    <n v="834"/>
    <n v="14921"/>
    <n v="16"/>
  </r>
  <r>
    <x v="5"/>
    <x v="38"/>
    <n v="7209"/>
    <n v="565"/>
    <n v="12000"/>
    <n v="0"/>
  </r>
  <r>
    <x v="1"/>
    <x v="38"/>
    <n v="7146"/>
    <n v="1120"/>
    <n v="18472"/>
    <n v="24"/>
  </r>
  <r>
    <x v="2"/>
    <x v="38"/>
    <n v="7204"/>
    <n v="888"/>
    <n v="15450"/>
    <n v="15"/>
  </r>
  <r>
    <x v="4"/>
    <x v="38"/>
    <n v="7189"/>
    <n v="970"/>
    <n v="16935"/>
    <n v="13"/>
  </r>
  <r>
    <x v="6"/>
    <x v="38"/>
    <n v="7176"/>
    <n v="860"/>
    <n v="15856"/>
    <n v="14"/>
  </r>
  <r>
    <x v="0"/>
    <x v="38"/>
    <n v="7209"/>
    <n v="654"/>
    <n v="12247"/>
    <n v="5"/>
  </r>
  <r>
    <x v="1"/>
    <x v="39"/>
    <n v="1005"/>
    <n v="210"/>
    <n v="4342"/>
    <n v="1"/>
  </r>
  <r>
    <x v="2"/>
    <x v="39"/>
    <n v="1007"/>
    <n v="0"/>
    <n v="0"/>
    <n v="0"/>
  </r>
  <r>
    <x v="3"/>
    <x v="39"/>
    <n v="1007"/>
    <n v="75"/>
    <n v="1505"/>
    <n v="2"/>
  </r>
  <r>
    <x v="6"/>
    <x v="39"/>
    <n v="1007"/>
    <n v="150"/>
    <n v="2054"/>
    <n v="0"/>
  </r>
  <r>
    <x v="4"/>
    <x v="39"/>
    <n v="1007"/>
    <n v="72"/>
    <n v="1497"/>
    <n v="0"/>
  </r>
  <r>
    <x v="0"/>
    <x v="39"/>
    <n v="1007"/>
    <n v="0"/>
    <n v="0"/>
    <n v="0"/>
  </r>
  <r>
    <x v="5"/>
    <x v="39"/>
    <n v="1010"/>
    <n v="224"/>
    <n v="4050"/>
    <n v="3"/>
  </r>
  <r>
    <x v="3"/>
    <x v="40"/>
    <n v="1615"/>
    <n v="1737"/>
    <n v="10660"/>
    <n v="50"/>
  </r>
  <r>
    <x v="0"/>
    <x v="40"/>
    <n v="1777"/>
    <n v="1189"/>
    <n v="10388"/>
    <n v="26"/>
  </r>
  <r>
    <x v="6"/>
    <x v="40"/>
    <n v="1667"/>
    <n v="1726"/>
    <n v="10401"/>
    <n v="52"/>
  </r>
  <r>
    <x v="4"/>
    <x v="40"/>
    <n v="1712"/>
    <n v="1444"/>
    <n v="1444"/>
    <n v="45"/>
  </r>
  <r>
    <x v="2"/>
    <x v="40"/>
    <n v="1751"/>
    <n v="1583"/>
    <n v="19034"/>
    <n v="39"/>
  </r>
  <r>
    <x v="5"/>
    <x v="40"/>
    <n v="1793"/>
    <n v="1163"/>
    <n v="9418"/>
    <n v="16"/>
  </r>
  <r>
    <x v="1"/>
    <x v="40"/>
    <n v="1565"/>
    <n v="1692"/>
    <n v="11429"/>
    <n v="59"/>
  </r>
  <r>
    <x v="6"/>
    <x v="41"/>
    <n v="129"/>
    <n v="44"/>
    <n v="631"/>
    <n v="0"/>
  </r>
  <r>
    <x v="3"/>
    <x v="41"/>
    <n v="129"/>
    <n v="149"/>
    <n v="2223"/>
    <n v="6"/>
  </r>
  <r>
    <x v="5"/>
    <x v="41"/>
    <n v="135"/>
    <n v="65"/>
    <n v="695"/>
    <n v="0"/>
  </r>
  <r>
    <x v="0"/>
    <x v="41"/>
    <n v="135"/>
    <n v="88"/>
    <n v="1021"/>
    <n v="1"/>
  </r>
  <r>
    <x v="4"/>
    <x v="41"/>
    <n v="130"/>
    <n v="79"/>
    <n v="1290"/>
    <n v="1"/>
  </r>
  <r>
    <x v="1"/>
    <x v="41"/>
    <n v="123"/>
    <n v="48"/>
    <n v="664"/>
    <n v="0"/>
  </r>
  <r>
    <x v="2"/>
    <x v="41"/>
    <n v="134"/>
    <n v="103"/>
    <n v="1297"/>
    <n v="4"/>
  </r>
  <r>
    <x v="2"/>
    <x v="42"/>
    <n v="1067"/>
    <n v="2225"/>
    <n v="29448"/>
    <n v="7"/>
  </r>
  <r>
    <x v="3"/>
    <x v="42"/>
    <n v="1020"/>
    <n v="4333"/>
    <n v="44787"/>
    <n v="42"/>
  </r>
  <r>
    <x v="5"/>
    <x v="42"/>
    <n v="1092"/>
    <n v="1009"/>
    <n v="12235"/>
    <n v="19"/>
  </r>
  <r>
    <x v="4"/>
    <x v="42"/>
    <n v="1060"/>
    <n v="3088"/>
    <n v="32593"/>
    <n v="27"/>
  </r>
  <r>
    <x v="1"/>
    <x v="42"/>
    <n v="978"/>
    <n v="0"/>
    <n v="0"/>
    <n v="0"/>
  </r>
  <r>
    <x v="0"/>
    <x v="42"/>
    <n v="1073"/>
    <n v="1443"/>
    <n v="19445"/>
    <n v="6"/>
  </r>
  <r>
    <x v="6"/>
    <x v="42"/>
    <n v="1033"/>
    <n v="2049"/>
    <n v="24573"/>
    <n v="13"/>
  </r>
  <r>
    <x v="1"/>
    <x v="43"/>
    <n v="5877"/>
    <n v="8342"/>
    <n v="48044"/>
    <n v="164"/>
  </r>
  <r>
    <x v="3"/>
    <x v="43"/>
    <n v="6190"/>
    <n v="9042"/>
    <n v="62442"/>
    <n v="313"/>
  </r>
  <r>
    <x v="5"/>
    <x v="43"/>
    <n v="7016"/>
    <n v="11529"/>
    <n v="86807"/>
    <n v="179"/>
  </r>
  <r>
    <x v="0"/>
    <x v="43"/>
    <n v="6837"/>
    <n v="0"/>
    <n v="0"/>
    <n v="0"/>
  </r>
  <r>
    <x v="6"/>
    <x v="43"/>
    <n v="6274"/>
    <n v="8800"/>
    <n v="70106"/>
    <n v="84"/>
  </r>
  <r>
    <x v="4"/>
    <x v="43"/>
    <n v="6569"/>
    <n v="8839"/>
    <n v="60278"/>
    <n v="295"/>
  </r>
  <r>
    <x v="2"/>
    <x v="43"/>
    <n v="6837"/>
    <n v="9539"/>
    <n v="78027"/>
    <n v="268"/>
  </r>
  <r>
    <x v="5"/>
    <x v="44"/>
    <n v="314"/>
    <n v="354"/>
    <n v="3466"/>
    <n v="3"/>
  </r>
  <r>
    <x v="2"/>
    <x v="44"/>
    <n v="310"/>
    <n v="506"/>
    <n v="4350"/>
    <n v="6"/>
  </r>
  <r>
    <x v="1"/>
    <x v="44"/>
    <n v="286"/>
    <n v="446"/>
    <n v="4651"/>
    <n v="5"/>
  </r>
  <r>
    <x v="4"/>
    <x v="44"/>
    <n v="304"/>
    <n v="500"/>
    <n v="4543"/>
    <n v="4"/>
  </r>
  <r>
    <x v="0"/>
    <x v="44"/>
    <n v="311"/>
    <n v="473"/>
    <n v="3456"/>
    <n v="1"/>
  </r>
  <r>
    <x v="3"/>
    <x v="44"/>
    <n v="292"/>
    <n v="339"/>
    <n v="3682"/>
    <n v="6"/>
  </r>
  <r>
    <x v="6"/>
    <x v="44"/>
    <n v="300"/>
    <n v="502"/>
    <n v="6176"/>
    <n v="8"/>
  </r>
  <r>
    <x v="2"/>
    <x v="45"/>
    <n v="2215"/>
    <n v="913"/>
    <n v="16614"/>
    <n v="41"/>
  </r>
  <r>
    <x v="3"/>
    <x v="45"/>
    <n v="2125"/>
    <n v="999"/>
    <n v="17346"/>
    <n v="30"/>
  </r>
  <r>
    <x v="4"/>
    <x v="45"/>
    <n v="2174"/>
    <n v="984"/>
    <n v="15774"/>
    <n v="33"/>
  </r>
  <r>
    <x v="6"/>
    <x v="45"/>
    <n v="2141"/>
    <n v="911"/>
    <n v="18217"/>
    <n v="16"/>
  </r>
  <r>
    <x v="5"/>
    <x v="45"/>
    <n v="2218"/>
    <n v="1324"/>
    <n v="15082"/>
    <n v="0"/>
  </r>
  <r>
    <x v="0"/>
    <x v="45"/>
    <n v="2218"/>
    <n v="981"/>
    <n v="12665"/>
    <n v="3"/>
  </r>
  <r>
    <x v="1"/>
    <x v="45"/>
    <n v="2095"/>
    <n v="922"/>
    <n v="20199"/>
    <n v="13"/>
  </r>
  <r>
    <x v="5"/>
    <x v="46"/>
    <n v="57"/>
    <n v="1"/>
    <n v="557"/>
    <n v="0"/>
  </r>
  <r>
    <x v="2"/>
    <x v="46"/>
    <n v="57"/>
    <n v="7"/>
    <n v="1024"/>
    <n v="0"/>
  </r>
  <r>
    <x v="6"/>
    <x v="46"/>
    <n v="57"/>
    <n v="1"/>
    <n v="823"/>
    <n v="1"/>
  </r>
  <r>
    <x v="4"/>
    <x v="46"/>
    <n v="57"/>
    <n v="7"/>
    <n v="1084"/>
    <n v="0"/>
  </r>
  <r>
    <x v="3"/>
    <x v="46"/>
    <n v="56"/>
    <n v="1"/>
    <n v="600"/>
    <n v="0"/>
  </r>
  <r>
    <x v="1"/>
    <x v="46"/>
    <n v="56"/>
    <n v="3"/>
    <n v="1244"/>
    <n v="0"/>
  </r>
  <r>
    <x v="0"/>
    <x v="46"/>
    <n v="57"/>
    <n v="5"/>
    <n v="1289"/>
    <n v="0"/>
  </r>
  <r>
    <x v="5"/>
    <x v="47"/>
    <n v="1596"/>
    <n v="632"/>
    <n v="6752"/>
    <n v="4"/>
  </r>
  <r>
    <x v="6"/>
    <x v="47"/>
    <n v="1555"/>
    <n v="780"/>
    <n v="13073"/>
    <n v="7"/>
  </r>
  <r>
    <x v="4"/>
    <x v="47"/>
    <n v="1564"/>
    <n v="818"/>
    <n v="15347"/>
    <n v="9"/>
  </r>
  <r>
    <x v="2"/>
    <x v="47"/>
    <n v="1564"/>
    <n v="0"/>
    <n v="0"/>
    <n v="0"/>
  </r>
  <r>
    <x v="1"/>
    <x v="47"/>
    <n v="1518"/>
    <n v="686"/>
    <n v="13957"/>
    <n v="17"/>
  </r>
  <r>
    <x v="3"/>
    <x v="47"/>
    <n v="1548"/>
    <n v="884"/>
    <n v="11930"/>
    <n v="30"/>
  </r>
  <r>
    <x v="0"/>
    <x v="47"/>
    <n v="1592"/>
    <n v="1738"/>
    <n v="27874"/>
    <n v="28"/>
  </r>
  <r>
    <x v="1"/>
    <x v="48"/>
    <n v="913"/>
    <n v="783"/>
    <n v="14445"/>
    <n v="13"/>
  </r>
  <r>
    <x v="0"/>
    <x v="48"/>
    <n v="955"/>
    <n v="932"/>
    <n v="9653"/>
    <n v="1"/>
  </r>
  <r>
    <x v="6"/>
    <x v="48"/>
    <n v="926"/>
    <n v="1091"/>
    <n v="17302"/>
    <n v="8"/>
  </r>
  <r>
    <x v="2"/>
    <x v="48"/>
    <n v="954"/>
    <n v="1124"/>
    <n v="14920"/>
    <n v="13"/>
  </r>
  <r>
    <x v="3"/>
    <x v="48"/>
    <n v="918"/>
    <n v="924"/>
    <n v="14748"/>
    <n v="5"/>
  </r>
  <r>
    <x v="5"/>
    <x v="48"/>
    <n v="956"/>
    <n v="411"/>
    <n v="7180"/>
    <n v="1"/>
  </r>
  <r>
    <x v="4"/>
    <x v="48"/>
    <n v="941"/>
    <n v="855"/>
    <n v="15402"/>
    <n v="15"/>
  </r>
  <r>
    <x v="2"/>
    <x v="49"/>
    <n v="116"/>
    <n v="93"/>
    <n v="3236"/>
    <n v="0"/>
  </r>
  <r>
    <x v="1"/>
    <x v="49"/>
    <n v="111"/>
    <n v="119"/>
    <n v="3811"/>
    <n v="5"/>
  </r>
  <r>
    <x v="5"/>
    <x v="49"/>
    <n v="117"/>
    <n v="119"/>
    <n v="3834"/>
    <n v="0"/>
  </r>
  <r>
    <x v="3"/>
    <x v="49"/>
    <n v="112"/>
    <n v="153"/>
    <n v="4283"/>
    <n v="1"/>
  </r>
  <r>
    <x v="6"/>
    <x v="49"/>
    <n v="115"/>
    <n v="96"/>
    <n v="3354"/>
    <n v="3"/>
  </r>
  <r>
    <x v="0"/>
    <x v="49"/>
    <n v="117"/>
    <n v="119"/>
    <n v="3988"/>
    <n v="1"/>
  </r>
  <r>
    <x v="4"/>
    <x v="49"/>
    <n v="116"/>
    <n v="220"/>
    <n v="6507"/>
    <n v="1"/>
  </r>
  <r>
    <x v="1"/>
    <x v="50"/>
    <n v="26"/>
    <n v="69"/>
    <n v="2437"/>
    <n v="1"/>
  </r>
  <r>
    <x v="4"/>
    <x v="50"/>
    <n v="26"/>
    <n v="40"/>
    <n v="658"/>
    <n v="0"/>
  </r>
  <r>
    <x v="5"/>
    <x v="50"/>
    <n v="27"/>
    <n v="40"/>
    <n v="1499"/>
    <n v="1"/>
  </r>
  <r>
    <x v="0"/>
    <x v="50"/>
    <n v="26"/>
    <n v="39"/>
    <n v="39"/>
    <n v="0"/>
  </r>
  <r>
    <x v="2"/>
    <x v="50"/>
    <n v="26"/>
    <n v="43"/>
    <n v="43"/>
    <n v="0"/>
  </r>
  <r>
    <x v="3"/>
    <x v="50"/>
    <n v="26"/>
    <n v="39"/>
    <n v="1232"/>
    <n v="0"/>
  </r>
  <r>
    <x v="6"/>
    <x v="50"/>
    <n v="26"/>
    <n v="58"/>
    <n v="629"/>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2">
  <r>
    <x v="0"/>
    <x v="0"/>
    <n v="23"/>
    <n v="118"/>
    <n v="8049"/>
    <n v="0"/>
  </r>
  <r>
    <x v="1"/>
    <x v="0"/>
    <n v="23"/>
    <n v="117"/>
    <n v="1393"/>
    <n v="1"/>
  </r>
  <r>
    <x v="2"/>
    <x v="0"/>
    <n v="22"/>
    <n v="92"/>
    <n v="9789"/>
    <n v="0"/>
  </r>
  <r>
    <x v="3"/>
    <x v="0"/>
    <n v="24"/>
    <n v="150"/>
    <n v="5527"/>
    <n v="1"/>
  </r>
  <r>
    <x v="4"/>
    <x v="0"/>
    <n v="22"/>
    <n v="144"/>
    <n v="6507"/>
    <n v="1"/>
  </r>
  <r>
    <x v="5"/>
    <x v="0"/>
    <n v="25"/>
    <n v="80"/>
    <n v="2717"/>
    <n v="1"/>
  </r>
  <r>
    <x v="6"/>
    <x v="0"/>
    <n v="24"/>
    <n v="157"/>
    <n v="4457"/>
    <n v="0"/>
  </r>
  <r>
    <x v="4"/>
    <x v="1"/>
    <n v="1491"/>
    <n v="1251"/>
    <n v="7440"/>
    <n v="0"/>
  </r>
  <r>
    <x v="2"/>
    <x v="1"/>
    <n v="1538"/>
    <n v="1416"/>
    <n v="2876"/>
    <n v="47"/>
  </r>
  <r>
    <x v="3"/>
    <x v="1"/>
    <n v="1603"/>
    <n v="1626"/>
    <n v="7904"/>
    <n v="23"/>
  </r>
  <r>
    <x v="6"/>
    <x v="1"/>
    <n v="1627"/>
    <n v="2095"/>
    <n v="8699"/>
    <n v="24"/>
  </r>
  <r>
    <x v="1"/>
    <x v="1"/>
    <n v="1565"/>
    <n v="1980"/>
    <n v="11833"/>
    <n v="27"/>
  </r>
  <r>
    <x v="0"/>
    <x v="1"/>
    <n v="1580"/>
    <n v="1961"/>
    <n v="9359"/>
    <n v="15"/>
  </r>
  <r>
    <x v="5"/>
    <x v="1"/>
    <n v="1633"/>
    <n v="1217"/>
    <n v="7981"/>
    <n v="6"/>
  </r>
  <r>
    <x v="0"/>
    <x v="2"/>
    <n v="453"/>
    <n v="752"/>
    <n v="752"/>
    <n v="11"/>
  </r>
  <r>
    <x v="1"/>
    <x v="2"/>
    <n v="442"/>
    <n v="791"/>
    <n v="7112"/>
    <n v="8"/>
  </r>
  <r>
    <x v="6"/>
    <x v="2"/>
    <n v="458"/>
    <n v="0"/>
    <n v="0"/>
    <n v="-2"/>
  </r>
  <r>
    <x v="3"/>
    <x v="2"/>
    <n v="460"/>
    <n v="662"/>
    <n v="11112"/>
    <n v="7"/>
  </r>
  <r>
    <x v="2"/>
    <x v="2"/>
    <n v="434"/>
    <n v="787"/>
    <n v="5699"/>
    <n v="6"/>
  </r>
  <r>
    <x v="4"/>
    <x v="2"/>
    <n v="428"/>
    <n v="734"/>
    <n v="5015"/>
    <n v="20"/>
  </r>
  <r>
    <x v="5"/>
    <x v="2"/>
    <n v="475"/>
    <n v="1424"/>
    <n v="12819"/>
    <n v="17"/>
  </r>
  <r>
    <x v="5"/>
    <x v="3"/>
    <n v="0"/>
    <n v="0"/>
    <n v="0"/>
    <n v="0"/>
  </r>
  <r>
    <x v="1"/>
    <x v="3"/>
    <n v="0"/>
    <n v="0"/>
    <n v="0"/>
    <n v="0"/>
  </r>
  <r>
    <x v="6"/>
    <x v="3"/>
    <n v="0"/>
    <n v="0"/>
    <n v="0"/>
    <n v="0"/>
  </r>
  <r>
    <x v="4"/>
    <x v="3"/>
    <n v="0"/>
    <n v="0"/>
    <n v="0"/>
    <n v="0"/>
  </r>
  <r>
    <x v="0"/>
    <x v="3"/>
    <n v="0"/>
    <n v="0"/>
    <n v="0"/>
    <n v="0"/>
  </r>
  <r>
    <x v="3"/>
    <x v="3"/>
    <n v="0"/>
    <n v="0"/>
    <n v="230"/>
    <n v="0"/>
  </r>
  <r>
    <x v="2"/>
    <x v="3"/>
    <n v="0"/>
    <n v="0"/>
    <n v="0"/>
    <n v="0"/>
  </r>
  <r>
    <x v="1"/>
    <x v="4"/>
    <n v="3626"/>
    <n v="2525"/>
    <n v="11837"/>
    <n v="172"/>
  </r>
  <r>
    <x v="2"/>
    <x v="4"/>
    <n v="3454"/>
    <n v="2339"/>
    <n v="10498"/>
    <n v="46"/>
  </r>
  <r>
    <x v="6"/>
    <x v="4"/>
    <n v="3765"/>
    <n v="1465"/>
    <n v="7778"/>
    <n v="18"/>
  </r>
  <r>
    <x v="4"/>
    <x v="4"/>
    <n v="3408"/>
    <n v="2107"/>
    <n v="12598"/>
    <n v="104"/>
  </r>
  <r>
    <x v="5"/>
    <x v="4"/>
    <n v="3779"/>
    <n v="1030"/>
    <n v="7990"/>
    <n v="14"/>
  </r>
  <r>
    <x v="0"/>
    <x v="4"/>
    <n v="3694"/>
    <n v="3212"/>
    <n v="20477"/>
    <n v="68"/>
  </r>
  <r>
    <x v="3"/>
    <x v="4"/>
    <n v="3747"/>
    <n v="2992"/>
    <n v="14907"/>
    <n v="53"/>
  </r>
  <r>
    <x v="6"/>
    <x v="5"/>
    <n v="9356"/>
    <n v="9032"/>
    <n v="149388"/>
    <n v="132"/>
  </r>
  <r>
    <x v="1"/>
    <x v="5"/>
    <n v="8909"/>
    <n v="10197"/>
    <n v="116374"/>
    <n v="194"/>
  </r>
  <r>
    <x v="2"/>
    <x v="5"/>
    <n v="8715"/>
    <n v="8755"/>
    <n v="99600"/>
    <n v="197"/>
  </r>
  <r>
    <x v="5"/>
    <x v="5"/>
    <n v="9388"/>
    <n v="5739"/>
    <n v="148721"/>
    <n v="32"/>
  </r>
  <r>
    <x v="0"/>
    <x v="5"/>
    <n v="9005"/>
    <n v="8086"/>
    <n v="177201"/>
    <n v="96"/>
  </r>
  <r>
    <x v="4"/>
    <x v="5"/>
    <n v="8518"/>
    <n v="6000"/>
    <n v="121288"/>
    <n v="73"/>
  </r>
  <r>
    <x v="3"/>
    <x v="5"/>
    <n v="9224"/>
    <n v="6542"/>
    <n v="75546"/>
    <n v="219"/>
  </r>
  <r>
    <x v="2"/>
    <x v="6"/>
    <n v="1679"/>
    <n v="749"/>
    <n v="11747"/>
    <n v="11"/>
  </r>
  <r>
    <x v="4"/>
    <x v="6"/>
    <n v="1668"/>
    <n v="229"/>
    <n v="2642"/>
    <n v="7"/>
  </r>
  <r>
    <x v="5"/>
    <x v="6"/>
    <n v="1691"/>
    <n v="449"/>
    <n v="6640"/>
    <n v="0"/>
  </r>
  <r>
    <x v="3"/>
    <x v="6"/>
    <n v="1691"/>
    <n v="605"/>
    <n v="7057"/>
    <n v="0"/>
  </r>
  <r>
    <x v="1"/>
    <x v="6"/>
    <n v="1688"/>
    <n v="482"/>
    <n v="7495"/>
    <n v="9"/>
  </r>
  <r>
    <x v="0"/>
    <x v="6"/>
    <n v="1691"/>
    <n v="408"/>
    <n v="6674"/>
    <n v="3"/>
  </r>
  <r>
    <x v="6"/>
    <x v="6"/>
    <n v="1691"/>
    <n v="458"/>
    <n v="7169"/>
    <n v="0"/>
  </r>
  <r>
    <x v="2"/>
    <x v="7"/>
    <n v="4425"/>
    <n v="463"/>
    <n v="13088"/>
    <n v="2"/>
  </r>
  <r>
    <x v="6"/>
    <x v="7"/>
    <n v="4432"/>
    <n v="0"/>
    <n v="0"/>
    <n v="0"/>
  </r>
  <r>
    <x v="3"/>
    <x v="7"/>
    <n v="4432"/>
    <n v="0"/>
    <n v="0"/>
    <n v="0"/>
  </r>
  <r>
    <x v="1"/>
    <x v="7"/>
    <n v="4431"/>
    <n v="130"/>
    <n v="12952"/>
    <n v="6"/>
  </r>
  <r>
    <x v="5"/>
    <x v="7"/>
    <n v="4437"/>
    <n v="252"/>
    <n v="35186"/>
    <n v="5"/>
  </r>
  <r>
    <x v="0"/>
    <x v="7"/>
    <n v="4432"/>
    <n v="140"/>
    <n v="15268"/>
    <n v="1"/>
  </r>
  <r>
    <x v="4"/>
    <x v="7"/>
    <n v="4423"/>
    <n v="94"/>
    <n v="7637"/>
    <n v="5"/>
  </r>
  <r>
    <x v="0"/>
    <x v="8"/>
    <n v="585"/>
    <n v="69"/>
    <n v="5751"/>
    <n v="1"/>
  </r>
  <r>
    <x v="1"/>
    <x v="8"/>
    <n v="584"/>
    <n v="58"/>
    <n v="2941"/>
    <n v="0"/>
  </r>
  <r>
    <x v="6"/>
    <x v="8"/>
    <n v="586"/>
    <n v="69"/>
    <n v="3411"/>
    <n v="1"/>
  </r>
  <r>
    <x v="4"/>
    <x v="8"/>
    <n v="583"/>
    <n v="87"/>
    <n v="3874"/>
    <n v="1"/>
  </r>
  <r>
    <x v="2"/>
    <x v="8"/>
    <n v="584"/>
    <n v="54"/>
    <n v="2027"/>
    <n v="1"/>
  </r>
  <r>
    <x v="5"/>
    <x v="8"/>
    <n v="586"/>
    <n v="39"/>
    <n v="1623"/>
    <n v="0"/>
  </r>
  <r>
    <x v="3"/>
    <x v="8"/>
    <n v="585"/>
    <n v="79"/>
    <n v="5040"/>
    <n v="0"/>
  </r>
  <r>
    <x v="1"/>
    <x v="9"/>
    <n v="581"/>
    <n v="87"/>
    <n v="1847"/>
    <n v="0"/>
  </r>
  <r>
    <x v="3"/>
    <x v="9"/>
    <n v="585"/>
    <n v="89"/>
    <n v="1849"/>
    <n v="0"/>
  </r>
  <r>
    <x v="2"/>
    <x v="9"/>
    <n v="581"/>
    <n v="126"/>
    <n v="2393"/>
    <n v="1"/>
  </r>
  <r>
    <x v="5"/>
    <x v="9"/>
    <n v="585"/>
    <n v="106"/>
    <n v="2748"/>
    <n v="0"/>
  </r>
  <r>
    <x v="0"/>
    <x v="9"/>
    <n v="585"/>
    <n v="99"/>
    <n v="2184"/>
    <n v="4"/>
  </r>
  <r>
    <x v="4"/>
    <x v="9"/>
    <n v="580"/>
    <n v="70"/>
    <n v="1564"/>
    <n v="1"/>
  </r>
  <r>
    <x v="6"/>
    <x v="9"/>
    <n v="585"/>
    <n v="72"/>
    <n v="2015"/>
    <n v="0"/>
  </r>
  <r>
    <x v="4"/>
    <x v="10"/>
    <n v="6240"/>
    <n v="9230"/>
    <n v="48802"/>
    <n v="191"/>
  </r>
  <r>
    <x v="1"/>
    <x v="10"/>
    <n v="6709"/>
    <n v="9956"/>
    <n v="52352"/>
    <n v="252"/>
  </r>
  <r>
    <x v="0"/>
    <x v="10"/>
    <n v="6966"/>
    <n v="9007"/>
    <n v="48971"/>
    <n v="257"/>
  </r>
  <r>
    <x v="2"/>
    <x v="10"/>
    <n v="6457"/>
    <n v="9446"/>
    <n v="46466"/>
    <n v="217"/>
  </r>
  <r>
    <x v="3"/>
    <x v="10"/>
    <n v="7144"/>
    <n v="9642"/>
    <n v="51355"/>
    <n v="178"/>
  </r>
  <r>
    <x v="6"/>
    <x v="10"/>
    <n v="7206"/>
    <n v="7104"/>
    <n v="41554"/>
    <n v="62"/>
  </r>
  <r>
    <x v="5"/>
    <x v="10"/>
    <n v="7279"/>
    <n v="4752"/>
    <n v="31801"/>
    <n v="73"/>
  </r>
  <r>
    <x v="5"/>
    <x v="11"/>
    <n v="3842"/>
    <n v="2258"/>
    <n v="21761"/>
    <n v="2"/>
  </r>
  <r>
    <x v="0"/>
    <x v="11"/>
    <n v="3752"/>
    <n v="4066"/>
    <n v="33298"/>
    <n v="81"/>
  </r>
  <r>
    <x v="4"/>
    <x v="11"/>
    <n v="3563"/>
    <n v="4209"/>
    <n v="34363"/>
    <n v="54"/>
  </r>
  <r>
    <x v="6"/>
    <x v="11"/>
    <n v="3840"/>
    <n v="3165"/>
    <n v="28555"/>
    <n v="15"/>
  </r>
  <r>
    <x v="3"/>
    <x v="11"/>
    <n v="3825"/>
    <n v="3660"/>
    <n v="21398"/>
    <n v="73"/>
  </r>
  <r>
    <x v="1"/>
    <x v="11"/>
    <n v="3671"/>
    <n v="3963"/>
    <n v="28925"/>
    <n v="29"/>
  </r>
  <r>
    <x v="2"/>
    <x v="11"/>
    <n v="3642"/>
    <n v="3271"/>
    <n v="25138"/>
    <n v="79"/>
  </r>
  <r>
    <x v="2"/>
    <x v="12"/>
    <n v="5"/>
    <n v="2"/>
    <n v="537"/>
    <n v="0"/>
  </r>
  <r>
    <x v="3"/>
    <x v="12"/>
    <n v="5"/>
    <n v="11"/>
    <n v="170"/>
    <n v="0"/>
  </r>
  <r>
    <x v="4"/>
    <x v="12"/>
    <n v="5"/>
    <n v="3"/>
    <n v="311"/>
    <n v="0"/>
  </r>
  <r>
    <x v="6"/>
    <x v="12"/>
    <n v="5"/>
    <n v="0"/>
    <n v="0"/>
    <n v="0"/>
  </r>
  <r>
    <x v="1"/>
    <x v="12"/>
    <n v="5"/>
    <n v="3"/>
    <n v="213"/>
    <n v="0"/>
  </r>
  <r>
    <x v="0"/>
    <x v="12"/>
    <n v="5"/>
    <n v="2"/>
    <n v="340"/>
    <n v="0"/>
  </r>
  <r>
    <x v="5"/>
    <x v="12"/>
    <n v="5"/>
    <n v="1"/>
    <n v="521"/>
    <n v="0"/>
  </r>
  <r>
    <x v="2"/>
    <x v="13"/>
    <n v="26"/>
    <n v="46"/>
    <n v="3416"/>
    <n v="0"/>
  </r>
  <r>
    <x v="0"/>
    <x v="13"/>
    <n v="26"/>
    <n v="124"/>
    <n v="2156"/>
    <n v="0"/>
  </r>
  <r>
    <x v="3"/>
    <x v="13"/>
    <n v="26"/>
    <n v="122"/>
    <n v="1883"/>
    <n v="0"/>
  </r>
  <r>
    <x v="1"/>
    <x v="13"/>
    <n v="26"/>
    <n v="108"/>
    <n v="1653"/>
    <n v="0"/>
  </r>
  <r>
    <x v="5"/>
    <x v="13"/>
    <n v="26"/>
    <n v="45"/>
    <n v="638"/>
    <n v="0"/>
  </r>
  <r>
    <x v="4"/>
    <x v="13"/>
    <n v="26"/>
    <n v="28"/>
    <n v="28"/>
    <n v="0"/>
  </r>
  <r>
    <x v="6"/>
    <x v="13"/>
    <n v="26"/>
    <n v="86"/>
    <n v="3390"/>
    <n v="0"/>
  </r>
  <r>
    <x v="5"/>
    <x v="14"/>
    <n v="882"/>
    <n v="349"/>
    <n v="2357"/>
    <n v="6"/>
  </r>
  <r>
    <x v="0"/>
    <x v="14"/>
    <n v="867"/>
    <n v="544"/>
    <n v="5314"/>
    <n v="10"/>
  </r>
  <r>
    <x v="6"/>
    <x v="14"/>
    <n v="876"/>
    <n v="516"/>
    <n v="5148"/>
    <n v="4"/>
  </r>
  <r>
    <x v="4"/>
    <x v="14"/>
    <n v="839"/>
    <n v="223"/>
    <n v="2590"/>
    <n v="6"/>
  </r>
  <r>
    <x v="3"/>
    <x v="14"/>
    <n v="872"/>
    <n v="394"/>
    <n v="4558"/>
    <n v="5"/>
  </r>
  <r>
    <x v="1"/>
    <x v="14"/>
    <n v="857"/>
    <n v="761"/>
    <n v="6386"/>
    <n v="11"/>
  </r>
  <r>
    <x v="2"/>
    <x v="14"/>
    <n v="846"/>
    <n v="500"/>
    <n v="5277"/>
    <n v="7"/>
  </r>
  <r>
    <x v="6"/>
    <x v="15"/>
    <n v="197"/>
    <n v="393"/>
    <n v="2426"/>
    <n v="8"/>
  </r>
  <r>
    <x v="4"/>
    <x v="15"/>
    <n v="152"/>
    <n v="517"/>
    <n v="2723"/>
    <n v="6"/>
  </r>
  <r>
    <x v="5"/>
    <x v="15"/>
    <n v="197"/>
    <n v="230"/>
    <n v="1038"/>
    <n v="0"/>
  </r>
  <r>
    <x v="3"/>
    <x v="15"/>
    <n v="189"/>
    <n v="475"/>
    <n v="2763"/>
    <n v="12"/>
  </r>
  <r>
    <x v="1"/>
    <x v="15"/>
    <n v="173"/>
    <n v="457"/>
    <n v="2477"/>
    <n v="13"/>
  </r>
  <r>
    <x v="2"/>
    <x v="15"/>
    <n v="160"/>
    <n v="528"/>
    <n v="2325"/>
    <n v="8"/>
  </r>
  <r>
    <x v="0"/>
    <x v="15"/>
    <n v="177"/>
    <n v="567"/>
    <n v="3591"/>
    <n v="4"/>
  </r>
  <r>
    <x v="2"/>
    <x v="16"/>
    <n v="7654"/>
    <n v="1393"/>
    <n v="38187"/>
    <n v="16"/>
  </r>
  <r>
    <x v="6"/>
    <x v="16"/>
    <n v="7714"/>
    <n v="1467"/>
    <n v="38945"/>
    <n v="14"/>
  </r>
  <r>
    <x v="1"/>
    <x v="16"/>
    <n v="7670"/>
    <n v="1772"/>
    <n v="41134"/>
    <n v="16"/>
  </r>
  <r>
    <x v="4"/>
    <x v="16"/>
    <n v="7638"/>
    <n v="1076"/>
    <n v="28331"/>
    <n v="30"/>
  </r>
  <r>
    <x v="3"/>
    <x v="16"/>
    <n v="7700"/>
    <n v="1639"/>
    <n v="39809"/>
    <n v="8"/>
  </r>
  <r>
    <x v="5"/>
    <x v="16"/>
    <n v="7723"/>
    <n v="1298"/>
    <n v="28475"/>
    <n v="9"/>
  </r>
  <r>
    <x v="0"/>
    <x v="16"/>
    <n v="7692"/>
    <n v="1980"/>
    <n v="49821"/>
    <n v="22"/>
  </r>
  <r>
    <x v="3"/>
    <x v="17"/>
    <n v="2971"/>
    <n v="968"/>
    <n v="11223"/>
    <n v="6"/>
  </r>
  <r>
    <x v="0"/>
    <x v="17"/>
    <n v="2965"/>
    <n v="901"/>
    <n v="11535"/>
    <n v="19"/>
  </r>
  <r>
    <x v="5"/>
    <x v="17"/>
    <n v="2980"/>
    <n v="576"/>
    <n v="6439"/>
    <n v="5"/>
  </r>
  <r>
    <x v="2"/>
    <x v="17"/>
    <n v="2932"/>
    <n v="621"/>
    <n v="7429"/>
    <n v="8"/>
  </r>
  <r>
    <x v="6"/>
    <x v="17"/>
    <n v="2975"/>
    <n v="735"/>
    <n v="10437"/>
    <n v="4"/>
  </r>
  <r>
    <x v="4"/>
    <x v="17"/>
    <n v="2924"/>
    <n v="771"/>
    <n v="9018"/>
    <n v="18"/>
  </r>
  <r>
    <x v="1"/>
    <x v="17"/>
    <n v="2946"/>
    <n v="954"/>
    <n v="11610"/>
    <n v="14"/>
  </r>
  <r>
    <x v="4"/>
    <x v="18"/>
    <n v="335"/>
    <n v="0"/>
    <n v="0"/>
    <n v="0"/>
  </r>
  <r>
    <x v="3"/>
    <x v="18"/>
    <n v="358"/>
    <n v="0"/>
    <n v="0"/>
    <n v="0"/>
  </r>
  <r>
    <x v="1"/>
    <x v="18"/>
    <n v="349"/>
    <n v="0"/>
    <n v="0"/>
    <n v="0"/>
  </r>
  <r>
    <x v="5"/>
    <x v="18"/>
    <n v="365"/>
    <n v="1064"/>
    <n v="9332"/>
    <n v="7"/>
  </r>
  <r>
    <x v="6"/>
    <x v="18"/>
    <n v="358"/>
    <n v="0"/>
    <n v="0"/>
    <n v="0"/>
  </r>
  <r>
    <x v="0"/>
    <x v="18"/>
    <n v="358"/>
    <n v="942"/>
    <n v="7558"/>
    <n v="9"/>
  </r>
  <r>
    <x v="2"/>
    <x v="18"/>
    <n v="349"/>
    <n v="698"/>
    <n v="6013"/>
    <n v="14"/>
  </r>
  <r>
    <x v="4"/>
    <x v="19"/>
    <n v="719"/>
    <n v="525"/>
    <n v="10263"/>
    <n v="10"/>
  </r>
  <r>
    <x v="1"/>
    <x v="19"/>
    <n v="731"/>
    <n v="659"/>
    <n v="10965"/>
    <n v="7"/>
  </r>
  <r>
    <x v="0"/>
    <x v="19"/>
    <n v="735"/>
    <n v="765"/>
    <n v="8517"/>
    <n v="4"/>
  </r>
  <r>
    <x v="2"/>
    <x v="19"/>
    <n v="724"/>
    <n v="601"/>
    <n v="10628"/>
    <n v="5"/>
  </r>
  <r>
    <x v="5"/>
    <x v="19"/>
    <n v="744"/>
    <n v="323"/>
    <n v="3157"/>
    <n v="2"/>
  </r>
  <r>
    <x v="6"/>
    <x v="19"/>
    <n v="742"/>
    <n v="462"/>
    <n v="462"/>
    <n v="2"/>
  </r>
  <r>
    <x v="3"/>
    <x v="19"/>
    <n v="740"/>
    <n v="572"/>
    <n v="8851"/>
    <n v="5"/>
  </r>
  <r>
    <x v="2"/>
    <x v="20"/>
    <n v="3883"/>
    <n v="1735"/>
    <n v="18827"/>
    <n v="71"/>
  </r>
  <r>
    <x v="1"/>
    <x v="20"/>
    <n v="3925"/>
    <n v="1708"/>
    <n v="22259"/>
    <n v="42"/>
  </r>
  <r>
    <x v="6"/>
    <x v="20"/>
    <n v="4007"/>
    <n v="3467"/>
    <n v="37197"/>
    <n v="58"/>
  </r>
  <r>
    <x v="3"/>
    <x v="20"/>
    <n v="3949"/>
    <n v="0"/>
    <n v="0"/>
    <n v="0"/>
  </r>
  <r>
    <x v="4"/>
    <x v="20"/>
    <n v="3812"/>
    <n v="1121"/>
    <n v="16282"/>
    <n v="26"/>
  </r>
  <r>
    <x v="5"/>
    <x v="20"/>
    <n v="4024"/>
    <n v="1099"/>
    <n v="14470"/>
    <n v="17"/>
  </r>
  <r>
    <x v="0"/>
    <x v="20"/>
    <n v="3949"/>
    <n v="1799"/>
    <n v="24853"/>
    <n v="24"/>
  </r>
  <r>
    <x v="4"/>
    <x v="21"/>
    <n v="8551"/>
    <n v="256"/>
    <n v="9959"/>
    <n v="15"/>
  </r>
  <r>
    <x v="0"/>
    <x v="21"/>
    <n v="8609"/>
    <n v="514"/>
    <n v="19278"/>
    <n v="14"/>
  </r>
  <r>
    <x v="5"/>
    <x v="21"/>
    <n v="8648"/>
    <n v="199"/>
    <n v="12312"/>
    <n v="10"/>
  </r>
  <r>
    <x v="2"/>
    <x v="21"/>
    <n v="8580"/>
    <n v="502"/>
    <n v="15702"/>
    <n v="29"/>
  </r>
  <r>
    <x v="3"/>
    <x v="21"/>
    <n v="8609"/>
    <n v="0"/>
    <n v="0"/>
    <n v="0"/>
  </r>
  <r>
    <x v="6"/>
    <x v="21"/>
    <n v="8638"/>
    <n v="846"/>
    <n v="26110"/>
    <n v="29"/>
  </r>
  <r>
    <x v="1"/>
    <x v="21"/>
    <n v="8595"/>
    <n v="414"/>
    <n v="12334"/>
    <n v="15"/>
  </r>
  <r>
    <x v="6"/>
    <x v="22"/>
    <n v="3515"/>
    <n v="909"/>
    <n v="15432"/>
    <n v="9"/>
  </r>
  <r>
    <x v="4"/>
    <x v="22"/>
    <n v="3458"/>
    <n v="648"/>
    <n v="12738"/>
    <n v="11"/>
  </r>
  <r>
    <x v="2"/>
    <x v="22"/>
    <n v="3478"/>
    <n v="761"/>
    <n v="10703"/>
    <n v="20"/>
  </r>
  <r>
    <x v="3"/>
    <x v="22"/>
    <n v="3506"/>
    <n v="1019"/>
    <n v="18163"/>
    <n v="13"/>
  </r>
  <r>
    <x v="0"/>
    <x v="22"/>
    <n v="3493"/>
    <n v="1169"/>
    <n v="17226"/>
    <n v="5"/>
  </r>
  <r>
    <x v="1"/>
    <x v="22"/>
    <n v="3488"/>
    <n v="892"/>
    <n v="15006"/>
    <n v="10"/>
  </r>
  <r>
    <x v="5"/>
    <x v="22"/>
    <n v="3523"/>
    <n v="870"/>
    <n v="15851"/>
    <n v="8"/>
  </r>
  <r>
    <x v="5"/>
    <x v="23"/>
    <n v="124"/>
    <n v="12"/>
    <n v="2071"/>
    <n v="1"/>
  </r>
  <r>
    <x v="0"/>
    <x v="23"/>
    <n v="123"/>
    <n v="24"/>
    <n v="2360"/>
    <n v="1"/>
  </r>
  <r>
    <x v="2"/>
    <x v="23"/>
    <n v="121"/>
    <n v="28"/>
    <n v="2977"/>
    <n v="0"/>
  </r>
  <r>
    <x v="6"/>
    <x v="23"/>
    <n v="123"/>
    <n v="21"/>
    <n v="2328"/>
    <n v="0"/>
  </r>
  <r>
    <x v="4"/>
    <x v="23"/>
    <n v="121"/>
    <n v="6"/>
    <n v="1659"/>
    <n v="2"/>
  </r>
  <r>
    <x v="3"/>
    <x v="23"/>
    <n v="123"/>
    <n v="25"/>
    <n v="2579"/>
    <n v="0"/>
  </r>
  <r>
    <x v="1"/>
    <x v="23"/>
    <n v="122"/>
    <n v="22"/>
    <n v="2730"/>
    <n v="1"/>
  </r>
  <r>
    <x v="4"/>
    <x v="24"/>
    <n v="6421"/>
    <n v="785"/>
    <n v="27393"/>
    <n v="16"/>
  </r>
  <r>
    <x v="0"/>
    <x v="24"/>
    <n v="6450"/>
    <n v="793"/>
    <n v="31269"/>
    <n v="7"/>
  </r>
  <r>
    <x v="1"/>
    <x v="24"/>
    <n v="6443"/>
    <n v="807"/>
    <n v="19945"/>
    <n v="21"/>
  </r>
  <r>
    <x v="2"/>
    <x v="24"/>
    <n v="6422"/>
    <n v="1016"/>
    <n v="65351"/>
    <n v="1"/>
  </r>
  <r>
    <x v="6"/>
    <x v="24"/>
    <n v="6457"/>
    <n v="429"/>
    <n v="25011"/>
    <n v="0"/>
  </r>
  <r>
    <x v="5"/>
    <x v="24"/>
    <n v="6463"/>
    <n v="613"/>
    <n v="24982"/>
    <n v="6"/>
  </r>
  <r>
    <x v="3"/>
    <x v="24"/>
    <n v="6457"/>
    <n v="758"/>
    <n v="32383"/>
    <n v="7"/>
  </r>
  <r>
    <x v="6"/>
    <x v="25"/>
    <n v="1654"/>
    <n v="759"/>
    <n v="12073"/>
    <n v="8"/>
  </r>
  <r>
    <x v="2"/>
    <x v="25"/>
    <n v="1629"/>
    <n v="666"/>
    <n v="13103"/>
    <n v="9"/>
  </r>
  <r>
    <x v="1"/>
    <x v="25"/>
    <n v="1634"/>
    <n v="745"/>
    <n v="14791"/>
    <n v="5"/>
  </r>
  <r>
    <x v="3"/>
    <x v="25"/>
    <n v="1646"/>
    <n v="725"/>
    <n v="11914"/>
    <n v="6"/>
  </r>
  <r>
    <x v="0"/>
    <x v="25"/>
    <n v="1640"/>
    <n v="771"/>
    <n v="-173528"/>
    <n v="6"/>
  </r>
  <r>
    <x v="4"/>
    <x v="25"/>
    <n v="1620"/>
    <n v="478"/>
    <n v="9262"/>
    <n v="4"/>
  </r>
  <r>
    <x v="5"/>
    <x v="25"/>
    <n v="1656"/>
    <n v="613"/>
    <n v="13663"/>
    <n v="2"/>
  </r>
  <r>
    <x v="4"/>
    <x v="26"/>
    <n v="1213"/>
    <n v="1773"/>
    <n v="11020"/>
    <n v="12"/>
  </r>
  <r>
    <x v="3"/>
    <x v="26"/>
    <n v="1253"/>
    <n v="935"/>
    <n v="9972"/>
    <n v="10"/>
  </r>
  <r>
    <x v="0"/>
    <x v="26"/>
    <n v="1243"/>
    <n v="1489"/>
    <n v="11640"/>
    <n v="10"/>
  </r>
  <r>
    <x v="5"/>
    <x v="26"/>
    <n v="1255"/>
    <n v="1047"/>
    <n v="10481"/>
    <n v="2"/>
  </r>
  <r>
    <x v="1"/>
    <x v="26"/>
    <n v="1233"/>
    <n v="2084"/>
    <n v="14234"/>
    <n v="13"/>
  </r>
  <r>
    <x v="2"/>
    <x v="26"/>
    <n v="1220"/>
    <n v="1927"/>
    <n v="7975"/>
    <n v="7"/>
  </r>
  <r>
    <x v="6"/>
    <x v="26"/>
    <n v="1253"/>
    <n v="582"/>
    <n v="5722"/>
    <n v="0"/>
  </r>
  <r>
    <x v="0"/>
    <x v="27"/>
    <n v="2"/>
    <n v="0"/>
    <n v="0"/>
    <n v="0"/>
  </r>
  <r>
    <x v="1"/>
    <x v="27"/>
    <n v="2"/>
    <n v="2"/>
    <n v="2"/>
    <n v="0"/>
  </r>
  <r>
    <x v="4"/>
    <x v="27"/>
    <n v="2"/>
    <n v="0"/>
    <n v="0"/>
    <n v="0"/>
  </r>
  <r>
    <x v="2"/>
    <x v="27"/>
    <n v="2"/>
    <n v="0"/>
    <n v="0"/>
    <n v="0"/>
  </r>
  <r>
    <x v="3"/>
    <x v="27"/>
    <n v="2"/>
    <n v="0"/>
    <n v="0"/>
    <n v="0"/>
  </r>
  <r>
    <x v="6"/>
    <x v="27"/>
    <n v="2"/>
    <n v="3"/>
    <n v="3"/>
    <n v="0"/>
  </r>
  <r>
    <x v="5"/>
    <x v="27"/>
    <n v="2"/>
    <n v="1"/>
    <n v="537"/>
    <n v="0"/>
  </r>
  <r>
    <x v="3"/>
    <x v="28"/>
    <n v="1693"/>
    <n v="1134"/>
    <n v="6968"/>
    <n v="30"/>
  </r>
  <r>
    <x v="6"/>
    <x v="28"/>
    <n v="1703"/>
    <n v="672"/>
    <n v="672"/>
    <n v="10"/>
  </r>
  <r>
    <x v="4"/>
    <x v="28"/>
    <n v="1543"/>
    <n v="1342"/>
    <n v="5536"/>
    <n v="42"/>
  </r>
  <r>
    <x v="5"/>
    <x v="28"/>
    <n v="1711"/>
    <n v="572"/>
    <n v="572"/>
    <n v="8"/>
  </r>
  <r>
    <x v="1"/>
    <x v="28"/>
    <n v="1611"/>
    <n v="1775"/>
    <n v="6577"/>
    <n v="48"/>
  </r>
  <r>
    <x v="0"/>
    <x v="28"/>
    <n v="1663"/>
    <n v="1168"/>
    <n v="4624"/>
    <n v="52"/>
  </r>
  <r>
    <x v="2"/>
    <x v="28"/>
    <n v="1563"/>
    <n v="1505"/>
    <n v="10171"/>
    <n v="20"/>
  </r>
  <r>
    <x v="2"/>
    <x v="29"/>
    <n v="54"/>
    <n v="201"/>
    <n v="3947"/>
    <n v="3"/>
  </r>
  <r>
    <x v="4"/>
    <x v="29"/>
    <n v="51"/>
    <n v="94"/>
    <n v="2753"/>
    <n v="4"/>
  </r>
  <r>
    <x v="5"/>
    <x v="29"/>
    <n v="64"/>
    <n v="40"/>
    <n v="5213"/>
    <n v="3"/>
  </r>
  <r>
    <x v="1"/>
    <x v="29"/>
    <n v="55"/>
    <n v="138"/>
    <n v="3261"/>
    <n v="1"/>
  </r>
  <r>
    <x v="3"/>
    <x v="29"/>
    <n v="61"/>
    <n v="116"/>
    <n v="1583"/>
    <n v="1"/>
  </r>
  <r>
    <x v="0"/>
    <x v="29"/>
    <n v="60"/>
    <n v="151"/>
    <n v="1354"/>
    <n v="5"/>
  </r>
  <r>
    <x v="6"/>
    <x v="29"/>
    <n v="61"/>
    <n v="112"/>
    <n v="2742"/>
    <n v="0"/>
  </r>
  <r>
    <x v="4"/>
    <x v="30"/>
    <n v="1820"/>
    <n v="1749"/>
    <n v="28064"/>
    <n v="30"/>
  </r>
  <r>
    <x v="2"/>
    <x v="30"/>
    <n v="1865"/>
    <n v="1763"/>
    <n v="27894"/>
    <n v="45"/>
  </r>
  <r>
    <x v="1"/>
    <x v="30"/>
    <n v="1903"/>
    <n v="2344"/>
    <n v="33490"/>
    <n v="38"/>
  </r>
  <r>
    <x v="0"/>
    <x v="30"/>
    <n v="1924"/>
    <n v="1954"/>
    <n v="32178"/>
    <n v="21"/>
  </r>
  <r>
    <x v="3"/>
    <x v="30"/>
    <n v="1964"/>
    <n v="1730"/>
    <n v="29310"/>
    <n v="40"/>
  </r>
  <r>
    <x v="6"/>
    <x v="30"/>
    <n v="1969"/>
    <n v="1341"/>
    <n v="27098"/>
    <n v="5"/>
  </r>
  <r>
    <x v="5"/>
    <x v="30"/>
    <n v="1982"/>
    <n v="1313"/>
    <n v="23900"/>
    <n v="13"/>
  </r>
  <r>
    <x v="4"/>
    <x v="31"/>
    <n v="92"/>
    <n v="155"/>
    <n v="1680"/>
    <n v="1"/>
  </r>
  <r>
    <x v="3"/>
    <x v="31"/>
    <n v="95"/>
    <n v="133"/>
    <n v="2221"/>
    <n v="0"/>
  </r>
  <r>
    <x v="5"/>
    <x v="31"/>
    <n v="95"/>
    <n v="183"/>
    <n v="2566"/>
    <n v="0"/>
  </r>
  <r>
    <x v="6"/>
    <x v="31"/>
    <n v="95"/>
    <n v="0"/>
    <n v="0"/>
    <n v="0"/>
  </r>
  <r>
    <x v="2"/>
    <x v="31"/>
    <n v="92"/>
    <n v="86"/>
    <n v="1037"/>
    <n v="0"/>
  </r>
  <r>
    <x v="0"/>
    <x v="31"/>
    <n v="95"/>
    <n v="168"/>
    <n v="2103"/>
    <n v="0"/>
  </r>
  <r>
    <x v="1"/>
    <x v="31"/>
    <n v="95"/>
    <n v="74"/>
    <n v="778"/>
    <n v="3"/>
  </r>
  <r>
    <x v="2"/>
    <x v="32"/>
    <n v="321"/>
    <n v="258"/>
    <n v="2930"/>
    <n v="4"/>
  </r>
  <r>
    <x v="6"/>
    <x v="32"/>
    <n v="332"/>
    <n v="180"/>
    <n v="1984"/>
    <n v="0"/>
  </r>
  <r>
    <x v="5"/>
    <x v="32"/>
    <n v="332"/>
    <n v="311"/>
    <n v="3863"/>
    <n v="0"/>
  </r>
  <r>
    <x v="3"/>
    <x v="32"/>
    <n v="332"/>
    <n v="445"/>
    <n v="4303"/>
    <n v="4"/>
  </r>
  <r>
    <x v="4"/>
    <x v="32"/>
    <n v="317"/>
    <n v="281"/>
    <n v="2276"/>
    <n v="1"/>
  </r>
  <r>
    <x v="1"/>
    <x v="32"/>
    <n v="324"/>
    <n v="265"/>
    <n v="2860"/>
    <n v="3"/>
  </r>
  <r>
    <x v="0"/>
    <x v="32"/>
    <n v="328"/>
    <n v="344"/>
    <n v="4063"/>
    <n v="4"/>
  </r>
  <r>
    <x v="5"/>
    <x v="33"/>
    <n v="417"/>
    <n v="21"/>
    <n v="1660"/>
    <n v="1"/>
  </r>
  <r>
    <x v="3"/>
    <x v="33"/>
    <n v="416"/>
    <n v="69"/>
    <n v="2653"/>
    <n v="1"/>
  </r>
  <r>
    <x v="0"/>
    <x v="33"/>
    <n v="415"/>
    <n v="31"/>
    <n v="912"/>
    <n v="4"/>
  </r>
  <r>
    <x v="4"/>
    <x v="33"/>
    <n v="409"/>
    <n v="64"/>
    <n v="2474"/>
    <n v="0"/>
  </r>
  <r>
    <x v="1"/>
    <x v="33"/>
    <n v="411"/>
    <n v="13"/>
    <n v="1314"/>
    <n v="2"/>
  </r>
  <r>
    <x v="2"/>
    <x v="33"/>
    <n v="409"/>
    <n v="0"/>
    <n v="0"/>
    <n v="0"/>
  </r>
  <r>
    <x v="6"/>
    <x v="33"/>
    <n v="416"/>
    <n v="0"/>
    <n v="0"/>
    <n v="0"/>
  </r>
  <r>
    <x v="5"/>
    <x v="34"/>
    <n v="15846"/>
    <n v="264"/>
    <n v="18702"/>
    <n v="10"/>
  </r>
  <r>
    <x v="1"/>
    <x v="34"/>
    <n v="15809"/>
    <n v="204"/>
    <n v="16882"/>
    <n v="11"/>
  </r>
  <r>
    <x v="6"/>
    <x v="34"/>
    <n v="15836"/>
    <n v="321"/>
    <n v="49180"/>
    <n v="6"/>
  </r>
  <r>
    <x v="2"/>
    <x v="34"/>
    <n v="15798"/>
    <n v="471"/>
    <n v="58378"/>
    <n v="-27"/>
  </r>
  <r>
    <x v="3"/>
    <x v="34"/>
    <n v="15830"/>
    <n v="369"/>
    <n v="369"/>
    <n v="11"/>
  </r>
  <r>
    <x v="4"/>
    <x v="34"/>
    <n v="15825"/>
    <n v="483"/>
    <n v="463"/>
    <n v="21"/>
  </r>
  <r>
    <x v="0"/>
    <x v="34"/>
    <n v="15819"/>
    <n v="690"/>
    <n v="36765"/>
    <n v="10"/>
  </r>
  <r>
    <x v="4"/>
    <x v="35"/>
    <n v="619"/>
    <n v="460"/>
    <n v="8172"/>
    <n v="5"/>
  </r>
  <r>
    <x v="6"/>
    <x v="35"/>
    <n v="651"/>
    <n v="196"/>
    <n v="7874"/>
    <n v="9"/>
  </r>
  <r>
    <x v="5"/>
    <x v="35"/>
    <n v="654"/>
    <n v="220"/>
    <n v="8367"/>
    <n v="3"/>
  </r>
  <r>
    <x v="2"/>
    <x v="35"/>
    <n v="626"/>
    <n v="289"/>
    <n v="7963"/>
    <n v="7"/>
  </r>
  <r>
    <x v="1"/>
    <x v="35"/>
    <n v="635"/>
    <n v="597"/>
    <n v="14784"/>
    <n v="9"/>
  </r>
  <r>
    <x v="0"/>
    <x v="35"/>
    <n v="635"/>
    <n v="0"/>
    <n v="0"/>
    <n v="0"/>
  </r>
  <r>
    <x v="3"/>
    <x v="35"/>
    <n v="642"/>
    <n v="212"/>
    <n v="6375"/>
    <n v="7"/>
  </r>
  <r>
    <x v="3"/>
    <x v="36"/>
    <n v="832"/>
    <n v="986"/>
    <n v="4317"/>
    <n v="2"/>
  </r>
  <r>
    <x v="1"/>
    <x v="36"/>
    <n v="801"/>
    <n v="1018"/>
    <n v="6260"/>
    <n v="21"/>
  </r>
  <r>
    <x v="5"/>
    <x v="36"/>
    <n v="847"/>
    <n v="994"/>
    <n v="2747"/>
    <n v="15"/>
  </r>
  <r>
    <x v="6"/>
    <x v="36"/>
    <n v="832"/>
    <n v="1131"/>
    <n v="7899"/>
    <n v="0"/>
  </r>
  <r>
    <x v="2"/>
    <x v="36"/>
    <n v="780"/>
    <n v="870"/>
    <n v="6499"/>
    <n v="21"/>
  </r>
  <r>
    <x v="4"/>
    <x v="36"/>
    <n v="759"/>
    <n v="1105"/>
    <n v="6207"/>
    <n v="20"/>
  </r>
  <r>
    <x v="0"/>
    <x v="36"/>
    <n v="830"/>
    <n v="1264"/>
    <n v="6258"/>
    <n v="29"/>
  </r>
  <r>
    <x v="2"/>
    <x v="37"/>
    <n v="25132"/>
    <n v="715"/>
    <n v="62276"/>
    <n v="6"/>
  </r>
  <r>
    <x v="5"/>
    <x v="37"/>
    <n v="25172"/>
    <n v="545"/>
    <n v="51839"/>
    <n v="2"/>
  </r>
  <r>
    <x v="3"/>
    <x v="37"/>
    <n v="25164"/>
    <n v="753"/>
    <n v="82737"/>
    <n v="14"/>
  </r>
  <r>
    <x v="4"/>
    <x v="37"/>
    <n v="25126"/>
    <n v="534"/>
    <n v="57397"/>
    <n v="9"/>
  </r>
  <r>
    <x v="6"/>
    <x v="37"/>
    <n v="25170"/>
    <n v="531"/>
    <n v="58961"/>
    <n v="6"/>
  </r>
  <r>
    <x v="0"/>
    <x v="37"/>
    <n v="25150"/>
    <n v="644"/>
    <n v="68869"/>
    <n v="5"/>
  </r>
  <r>
    <x v="1"/>
    <x v="37"/>
    <n v="25145"/>
    <n v="777"/>
    <n v="73546"/>
    <n v="13"/>
  </r>
  <r>
    <x v="0"/>
    <x v="38"/>
    <n v="3489"/>
    <n v="1533"/>
    <n v="21862"/>
    <n v="47"/>
  </r>
  <r>
    <x v="6"/>
    <x v="38"/>
    <n v="3529"/>
    <n v="944"/>
    <n v="24643"/>
    <n v="14"/>
  </r>
  <r>
    <x v="5"/>
    <x v="38"/>
    <n v="3539"/>
    <n v="932"/>
    <n v="17997"/>
    <n v="10"/>
  </r>
  <r>
    <x v="4"/>
    <x v="38"/>
    <n v="3382"/>
    <n v="1320"/>
    <n v="54635"/>
    <n v="38"/>
  </r>
  <r>
    <x v="1"/>
    <x v="38"/>
    <n v="3442"/>
    <n v="1733"/>
    <n v="25635"/>
    <n v="20"/>
  </r>
  <r>
    <x v="3"/>
    <x v="38"/>
    <n v="3515"/>
    <n v="928"/>
    <n v="24569"/>
    <n v="26"/>
  </r>
  <r>
    <x v="2"/>
    <x v="38"/>
    <n v="3422"/>
    <n v="1396"/>
    <n v="22104"/>
    <n v="40"/>
  </r>
  <r>
    <x v="4"/>
    <x v="39"/>
    <n v="509"/>
    <n v="1089"/>
    <n v="20812"/>
    <n v="13"/>
  </r>
  <r>
    <x v="2"/>
    <x v="39"/>
    <n v="523"/>
    <n v="848"/>
    <n v="17387"/>
    <n v="14"/>
  </r>
  <r>
    <x v="6"/>
    <x v="39"/>
    <n v="550"/>
    <n v="494"/>
    <n v="494"/>
    <n v="1"/>
  </r>
  <r>
    <x v="3"/>
    <x v="39"/>
    <n v="549"/>
    <n v="1244"/>
    <n v="11614"/>
    <n v="8"/>
  </r>
  <r>
    <x v="0"/>
    <x v="39"/>
    <n v="541"/>
    <n v="747"/>
    <n v="10562"/>
    <n v="5"/>
  </r>
  <r>
    <x v="1"/>
    <x v="39"/>
    <n v="536"/>
    <n v="1117"/>
    <n v="8503"/>
    <n v="13"/>
  </r>
  <r>
    <x v="5"/>
    <x v="39"/>
    <n v="551"/>
    <n v="377"/>
    <n v="377"/>
    <n v="1"/>
  </r>
  <r>
    <x v="4"/>
    <x v="40"/>
    <n v="303"/>
    <n v="328"/>
    <n v="5090"/>
    <n v="14"/>
  </r>
  <r>
    <x v="1"/>
    <x v="40"/>
    <n v="316"/>
    <n v="410"/>
    <n v="4484"/>
    <n v="5"/>
  </r>
  <r>
    <x v="2"/>
    <x v="40"/>
    <n v="311"/>
    <n v="305"/>
    <n v="6499"/>
    <n v="8"/>
  </r>
  <r>
    <x v="0"/>
    <x v="40"/>
    <n v="322"/>
    <n v="361"/>
    <n v="5554"/>
    <n v="6"/>
  </r>
  <r>
    <x v="3"/>
    <x v="40"/>
    <n v="325"/>
    <n v="325"/>
    <n v="5423"/>
    <n v="3"/>
  </r>
  <r>
    <x v="6"/>
    <x v="40"/>
    <n v="326"/>
    <n v="280"/>
    <n v="4041"/>
    <n v="1"/>
  </r>
  <r>
    <x v="5"/>
    <x v="40"/>
    <n v="328"/>
    <n v="269"/>
    <n v="3474"/>
    <n v="2"/>
  </r>
  <r>
    <x v="0"/>
    <x v="41"/>
    <n v="7189"/>
    <n v="970"/>
    <n v="16935"/>
    <n v="13"/>
  </r>
  <r>
    <x v="4"/>
    <x v="41"/>
    <n v="7146"/>
    <n v="1120"/>
    <n v="18472"/>
    <n v="24"/>
  </r>
  <r>
    <x v="2"/>
    <x v="41"/>
    <n v="7162"/>
    <n v="834"/>
    <n v="14921"/>
    <n v="16"/>
  </r>
  <r>
    <x v="5"/>
    <x v="41"/>
    <n v="7209"/>
    <n v="565"/>
    <n v="12000"/>
    <n v="0"/>
  </r>
  <r>
    <x v="6"/>
    <x v="41"/>
    <n v="7209"/>
    <n v="654"/>
    <n v="12247"/>
    <n v="5"/>
  </r>
  <r>
    <x v="1"/>
    <x v="41"/>
    <n v="7176"/>
    <n v="860"/>
    <n v="15856"/>
    <n v="14"/>
  </r>
  <r>
    <x v="3"/>
    <x v="41"/>
    <n v="7204"/>
    <n v="888"/>
    <n v="15450"/>
    <n v="15"/>
  </r>
  <r>
    <x v="0"/>
    <x v="42"/>
    <n v="219"/>
    <n v="209"/>
    <n v="209"/>
    <n v="5"/>
  </r>
  <r>
    <x v="1"/>
    <x v="42"/>
    <n v="214"/>
    <n v="511"/>
    <n v="511"/>
    <n v="3"/>
  </r>
  <r>
    <x v="3"/>
    <x v="42"/>
    <n v="225"/>
    <n v="1091"/>
    <n v="1091"/>
    <n v="6"/>
  </r>
  <r>
    <x v="5"/>
    <x v="42"/>
    <n v="230"/>
    <n v="380"/>
    <n v="380"/>
    <n v="0"/>
  </r>
  <r>
    <x v="4"/>
    <x v="42"/>
    <n v="209"/>
    <n v="409"/>
    <n v="409"/>
    <n v="8"/>
  </r>
  <r>
    <x v="2"/>
    <x v="42"/>
    <n v="211"/>
    <n v="221"/>
    <n v="221"/>
    <n v="2"/>
  </r>
  <r>
    <x v="6"/>
    <x v="42"/>
    <n v="230"/>
    <n v="539"/>
    <n v="539"/>
    <n v="5"/>
  </r>
  <r>
    <x v="3"/>
    <x v="43"/>
    <n v="1007"/>
    <n v="0"/>
    <n v="0"/>
    <n v="0"/>
  </r>
  <r>
    <x v="6"/>
    <x v="43"/>
    <n v="1007"/>
    <n v="0"/>
    <n v="0"/>
    <n v="0"/>
  </r>
  <r>
    <x v="4"/>
    <x v="43"/>
    <n v="1005"/>
    <n v="210"/>
    <n v="4342"/>
    <n v="1"/>
  </r>
  <r>
    <x v="5"/>
    <x v="43"/>
    <n v="1010"/>
    <n v="224"/>
    <n v="4050"/>
    <n v="3"/>
  </r>
  <r>
    <x v="2"/>
    <x v="43"/>
    <n v="1007"/>
    <n v="75"/>
    <n v="1505"/>
    <n v="2"/>
  </r>
  <r>
    <x v="1"/>
    <x v="43"/>
    <n v="1007"/>
    <n v="150"/>
    <n v="2054"/>
    <n v="0"/>
  </r>
  <r>
    <x v="0"/>
    <x v="43"/>
    <n v="1007"/>
    <n v="72"/>
    <n v="1497"/>
    <n v="0"/>
  </r>
  <r>
    <x v="5"/>
    <x v="44"/>
    <n v="1793"/>
    <n v="1163"/>
    <n v="9418"/>
    <n v="16"/>
  </r>
  <r>
    <x v="4"/>
    <x v="44"/>
    <n v="1565"/>
    <n v="1692"/>
    <n v="11429"/>
    <n v="59"/>
  </r>
  <r>
    <x v="2"/>
    <x v="44"/>
    <n v="1615"/>
    <n v="1737"/>
    <n v="10660"/>
    <n v="50"/>
  </r>
  <r>
    <x v="6"/>
    <x v="44"/>
    <n v="1777"/>
    <n v="1189"/>
    <n v="10388"/>
    <n v="26"/>
  </r>
  <r>
    <x v="1"/>
    <x v="44"/>
    <n v="1667"/>
    <n v="1726"/>
    <n v="10401"/>
    <n v="52"/>
  </r>
  <r>
    <x v="0"/>
    <x v="44"/>
    <n v="1712"/>
    <n v="1444"/>
    <n v="1444"/>
    <n v="45"/>
  </r>
  <r>
    <x v="3"/>
    <x v="44"/>
    <n v="1751"/>
    <n v="1583"/>
    <n v="19034"/>
    <n v="39"/>
  </r>
  <r>
    <x v="1"/>
    <x v="45"/>
    <n v="129"/>
    <n v="44"/>
    <n v="631"/>
    <n v="0"/>
  </r>
  <r>
    <x v="2"/>
    <x v="45"/>
    <n v="129"/>
    <n v="149"/>
    <n v="2223"/>
    <n v="6"/>
  </r>
  <r>
    <x v="4"/>
    <x v="45"/>
    <n v="123"/>
    <n v="48"/>
    <n v="664"/>
    <n v="0"/>
  </r>
  <r>
    <x v="0"/>
    <x v="45"/>
    <n v="130"/>
    <n v="79"/>
    <n v="1290"/>
    <n v="1"/>
  </r>
  <r>
    <x v="6"/>
    <x v="45"/>
    <n v="135"/>
    <n v="88"/>
    <n v="1021"/>
    <n v="1"/>
  </r>
  <r>
    <x v="5"/>
    <x v="45"/>
    <n v="135"/>
    <n v="65"/>
    <n v="695"/>
    <n v="0"/>
  </r>
  <r>
    <x v="3"/>
    <x v="45"/>
    <n v="134"/>
    <n v="103"/>
    <n v="1297"/>
    <n v="4"/>
  </r>
  <r>
    <x v="0"/>
    <x v="46"/>
    <n v="1060"/>
    <n v="3088"/>
    <n v="32593"/>
    <n v="27"/>
  </r>
  <r>
    <x v="1"/>
    <x v="46"/>
    <n v="1033"/>
    <n v="2049"/>
    <n v="24573"/>
    <n v="13"/>
  </r>
  <r>
    <x v="5"/>
    <x v="46"/>
    <n v="1092"/>
    <n v="1009"/>
    <n v="12235"/>
    <n v="19"/>
  </r>
  <r>
    <x v="2"/>
    <x v="46"/>
    <n v="1020"/>
    <n v="4333"/>
    <n v="44787"/>
    <n v="42"/>
  </r>
  <r>
    <x v="6"/>
    <x v="46"/>
    <n v="1073"/>
    <n v="1443"/>
    <n v="19445"/>
    <n v="6"/>
  </r>
  <r>
    <x v="3"/>
    <x v="46"/>
    <n v="1067"/>
    <n v="2225"/>
    <n v="29448"/>
    <n v="7"/>
  </r>
  <r>
    <x v="4"/>
    <x v="46"/>
    <n v="978"/>
    <n v="0"/>
    <n v="0"/>
    <n v="0"/>
  </r>
  <r>
    <x v="6"/>
    <x v="47"/>
    <n v="6837"/>
    <n v="0"/>
    <n v="0"/>
    <n v="0"/>
  </r>
  <r>
    <x v="1"/>
    <x v="47"/>
    <n v="6274"/>
    <n v="8800"/>
    <n v="70106"/>
    <n v="84"/>
  </r>
  <r>
    <x v="5"/>
    <x v="47"/>
    <n v="7016"/>
    <n v="11529"/>
    <n v="86807"/>
    <n v="179"/>
  </r>
  <r>
    <x v="2"/>
    <x v="47"/>
    <n v="6190"/>
    <n v="9042"/>
    <n v="62442"/>
    <n v="313"/>
  </r>
  <r>
    <x v="0"/>
    <x v="47"/>
    <n v="6569"/>
    <n v="8839"/>
    <n v="60278"/>
    <n v="295"/>
  </r>
  <r>
    <x v="3"/>
    <x v="47"/>
    <n v="6837"/>
    <n v="9539"/>
    <n v="78027"/>
    <n v="268"/>
  </r>
  <r>
    <x v="4"/>
    <x v="47"/>
    <n v="5877"/>
    <n v="8342"/>
    <n v="48044"/>
    <n v="164"/>
  </r>
  <r>
    <x v="5"/>
    <x v="48"/>
    <n v="314"/>
    <n v="354"/>
    <n v="3466"/>
    <n v="3"/>
  </r>
  <r>
    <x v="4"/>
    <x v="48"/>
    <n v="286"/>
    <n v="446"/>
    <n v="4651"/>
    <n v="5"/>
  </r>
  <r>
    <x v="0"/>
    <x v="48"/>
    <n v="304"/>
    <n v="500"/>
    <n v="4543"/>
    <n v="4"/>
  </r>
  <r>
    <x v="2"/>
    <x v="48"/>
    <n v="292"/>
    <n v="339"/>
    <n v="3682"/>
    <n v="6"/>
  </r>
  <r>
    <x v="1"/>
    <x v="48"/>
    <n v="300"/>
    <n v="502"/>
    <n v="6176"/>
    <n v="8"/>
  </r>
  <r>
    <x v="3"/>
    <x v="48"/>
    <n v="310"/>
    <n v="506"/>
    <n v="4350"/>
    <n v="6"/>
  </r>
  <r>
    <x v="6"/>
    <x v="48"/>
    <n v="311"/>
    <n v="473"/>
    <n v="3456"/>
    <n v="1"/>
  </r>
  <r>
    <x v="3"/>
    <x v="49"/>
    <n v="2215"/>
    <n v="913"/>
    <n v="16614"/>
    <n v="41"/>
  </r>
  <r>
    <x v="1"/>
    <x v="49"/>
    <n v="2141"/>
    <n v="911"/>
    <n v="18217"/>
    <n v="16"/>
  </r>
  <r>
    <x v="4"/>
    <x v="49"/>
    <n v="2095"/>
    <n v="922"/>
    <n v="20199"/>
    <n v="13"/>
  </r>
  <r>
    <x v="0"/>
    <x v="49"/>
    <n v="2174"/>
    <n v="984"/>
    <n v="15774"/>
    <n v="33"/>
  </r>
  <r>
    <x v="6"/>
    <x v="49"/>
    <n v="2218"/>
    <n v="981"/>
    <n v="12665"/>
    <n v="3"/>
  </r>
  <r>
    <x v="2"/>
    <x v="49"/>
    <n v="2125"/>
    <n v="999"/>
    <n v="17346"/>
    <n v="30"/>
  </r>
  <r>
    <x v="5"/>
    <x v="49"/>
    <n v="2218"/>
    <n v="1324"/>
    <n v="15082"/>
    <n v="0"/>
  </r>
  <r>
    <x v="3"/>
    <x v="50"/>
    <n v="8"/>
    <n v="15"/>
    <n v="108"/>
    <n v="0"/>
  </r>
  <r>
    <x v="2"/>
    <x v="50"/>
    <n v="8"/>
    <n v="10"/>
    <n v="134"/>
    <n v="1"/>
  </r>
  <r>
    <x v="4"/>
    <x v="50"/>
    <n v="7"/>
    <n v="11"/>
    <n v="273"/>
    <n v="0"/>
  </r>
  <r>
    <x v="6"/>
    <x v="50"/>
    <n v="8"/>
    <n v="0"/>
    <n v="0"/>
    <n v="0"/>
  </r>
  <r>
    <x v="0"/>
    <x v="50"/>
    <n v="8"/>
    <n v="21"/>
    <n v="377"/>
    <n v="0"/>
  </r>
  <r>
    <x v="1"/>
    <x v="50"/>
    <n v="8"/>
    <n v="0"/>
    <n v="0"/>
    <n v="0"/>
  </r>
  <r>
    <x v="5"/>
    <x v="50"/>
    <n v="8"/>
    <n v="18"/>
    <n v="147"/>
    <n v="0"/>
  </r>
  <r>
    <x v="3"/>
    <x v="51"/>
    <n v="57"/>
    <n v="7"/>
    <n v="1024"/>
    <n v="0"/>
  </r>
  <r>
    <x v="4"/>
    <x v="51"/>
    <n v="56"/>
    <n v="3"/>
    <n v="1244"/>
    <n v="0"/>
  </r>
  <r>
    <x v="0"/>
    <x v="51"/>
    <n v="57"/>
    <n v="7"/>
    <n v="1084"/>
    <n v="0"/>
  </r>
  <r>
    <x v="1"/>
    <x v="51"/>
    <n v="57"/>
    <n v="1"/>
    <n v="823"/>
    <n v="1"/>
  </r>
  <r>
    <x v="2"/>
    <x v="51"/>
    <n v="56"/>
    <n v="1"/>
    <n v="600"/>
    <n v="0"/>
  </r>
  <r>
    <x v="5"/>
    <x v="51"/>
    <n v="57"/>
    <n v="1"/>
    <n v="557"/>
    <n v="0"/>
  </r>
  <r>
    <x v="6"/>
    <x v="51"/>
    <n v="57"/>
    <n v="5"/>
    <n v="1289"/>
    <n v="0"/>
  </r>
  <r>
    <x v="2"/>
    <x v="52"/>
    <n v="1548"/>
    <n v="884"/>
    <n v="11930"/>
    <n v="30"/>
  </r>
  <r>
    <x v="5"/>
    <x v="52"/>
    <n v="1596"/>
    <n v="632"/>
    <n v="6752"/>
    <n v="4"/>
  </r>
  <r>
    <x v="0"/>
    <x v="52"/>
    <n v="1564"/>
    <n v="818"/>
    <n v="15347"/>
    <n v="9"/>
  </r>
  <r>
    <x v="1"/>
    <x v="52"/>
    <n v="1555"/>
    <n v="780"/>
    <n v="13073"/>
    <n v="7"/>
  </r>
  <r>
    <x v="6"/>
    <x v="52"/>
    <n v="1592"/>
    <n v="1738"/>
    <n v="27874"/>
    <n v="28"/>
  </r>
  <r>
    <x v="4"/>
    <x v="52"/>
    <n v="1518"/>
    <n v="686"/>
    <n v="13957"/>
    <n v="17"/>
  </r>
  <r>
    <x v="3"/>
    <x v="52"/>
    <n v="1564"/>
    <n v="0"/>
    <n v="0"/>
    <n v="0"/>
  </r>
  <r>
    <x v="2"/>
    <x v="53"/>
    <n v="918"/>
    <n v="924"/>
    <n v="14748"/>
    <n v="5"/>
  </r>
  <r>
    <x v="6"/>
    <x v="53"/>
    <n v="955"/>
    <n v="932"/>
    <n v="9653"/>
    <n v="1"/>
  </r>
  <r>
    <x v="4"/>
    <x v="53"/>
    <n v="913"/>
    <n v="783"/>
    <n v="14445"/>
    <n v="13"/>
  </r>
  <r>
    <x v="3"/>
    <x v="53"/>
    <n v="954"/>
    <n v="1124"/>
    <n v="14920"/>
    <n v="13"/>
  </r>
  <r>
    <x v="0"/>
    <x v="53"/>
    <n v="941"/>
    <n v="855"/>
    <n v="15402"/>
    <n v="15"/>
  </r>
  <r>
    <x v="1"/>
    <x v="53"/>
    <n v="926"/>
    <n v="1091"/>
    <n v="17302"/>
    <n v="8"/>
  </r>
  <r>
    <x v="5"/>
    <x v="53"/>
    <n v="956"/>
    <n v="411"/>
    <n v="7180"/>
    <n v="1"/>
  </r>
  <r>
    <x v="0"/>
    <x v="54"/>
    <n v="116"/>
    <n v="220"/>
    <n v="6507"/>
    <n v="1"/>
  </r>
  <r>
    <x v="6"/>
    <x v="54"/>
    <n v="117"/>
    <n v="119"/>
    <n v="3988"/>
    <n v="1"/>
  </r>
  <r>
    <x v="4"/>
    <x v="54"/>
    <n v="111"/>
    <n v="119"/>
    <n v="3811"/>
    <n v="5"/>
  </r>
  <r>
    <x v="5"/>
    <x v="54"/>
    <n v="117"/>
    <n v="119"/>
    <n v="3834"/>
    <n v="0"/>
  </r>
  <r>
    <x v="2"/>
    <x v="54"/>
    <n v="112"/>
    <n v="153"/>
    <n v="4283"/>
    <n v="1"/>
  </r>
  <r>
    <x v="1"/>
    <x v="54"/>
    <n v="115"/>
    <n v="96"/>
    <n v="3354"/>
    <n v="3"/>
  </r>
  <r>
    <x v="3"/>
    <x v="54"/>
    <n v="116"/>
    <n v="93"/>
    <n v="3236"/>
    <n v="0"/>
  </r>
  <r>
    <x v="4"/>
    <x v="55"/>
    <n v="26"/>
    <n v="69"/>
    <n v="2437"/>
    <n v="1"/>
  </r>
  <r>
    <x v="1"/>
    <x v="55"/>
    <n v="26"/>
    <n v="58"/>
    <n v="629"/>
    <n v="0"/>
  </r>
  <r>
    <x v="6"/>
    <x v="55"/>
    <n v="26"/>
    <n v="39"/>
    <n v="39"/>
    <n v="0"/>
  </r>
  <r>
    <x v="0"/>
    <x v="55"/>
    <n v="26"/>
    <n v="40"/>
    <n v="658"/>
    <n v="0"/>
  </r>
  <r>
    <x v="2"/>
    <x v="55"/>
    <n v="26"/>
    <n v="39"/>
    <n v="1232"/>
    <n v="0"/>
  </r>
  <r>
    <x v="5"/>
    <x v="55"/>
    <n v="27"/>
    <n v="40"/>
    <n v="1499"/>
    <n v="1"/>
  </r>
  <r>
    <x v="3"/>
    <x v="55"/>
    <n v="26"/>
    <n v="43"/>
    <n v="43"/>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989628-DFD8-4384-B793-2514D1CAC4A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O3:P55" firstHeaderRow="1" firstDataRow="1" firstDataCol="1" rowPageCount="1" colPageCount="1"/>
  <pivotFields count="6">
    <pivotField axis="axisPage" multipleItemSelectionAllowed="1" showAll="0">
      <items count="8">
        <item h="1" x="4"/>
        <item h="1" x="2"/>
        <item h="1" x="1"/>
        <item h="1" x="0"/>
        <item h="1" x="3"/>
        <item h="1" x="6"/>
        <item x="5"/>
        <item t="default"/>
      </items>
    </pivotField>
    <pivotField axis="axisRow" showAll="0">
      <items count="57">
        <item x="0"/>
        <item x="1"/>
        <item x="2"/>
        <item h="1" x="3"/>
        <item x="4"/>
        <item x="5"/>
        <item x="6"/>
        <item x="7"/>
        <item x="8"/>
        <item x="9"/>
        <item x="10"/>
        <item x="11"/>
        <item h="1" x="12"/>
        <item x="13"/>
        <item x="14"/>
        <item x="15"/>
        <item x="16"/>
        <item x="17"/>
        <item x="18"/>
        <item x="19"/>
        <item x="20"/>
        <item x="21"/>
        <item x="22"/>
        <item x="23"/>
        <item x="24"/>
        <item x="25"/>
        <item x="26"/>
        <item h="1" x="27"/>
        <item x="28"/>
        <item x="29"/>
        <item x="30"/>
        <item x="31"/>
        <item x="32"/>
        <item x="33"/>
        <item x="34"/>
        <item x="35"/>
        <item x="36"/>
        <item x="37"/>
        <item x="38"/>
        <item x="39"/>
        <item x="40"/>
        <item x="41"/>
        <item h="1" x="42"/>
        <item x="43"/>
        <item x="44"/>
        <item x="45"/>
        <item x="46"/>
        <item x="47"/>
        <item x="48"/>
        <item x="49"/>
        <item x="50"/>
        <item x="51"/>
        <item x="52"/>
        <item h="1" x="53"/>
        <item x="54"/>
        <item x="55"/>
        <item t="default"/>
      </items>
    </pivotField>
    <pivotField dataField="1" showAll="0"/>
    <pivotField showAll="0"/>
    <pivotField showAll="0"/>
    <pivotField showAll="0"/>
  </pivotFields>
  <rowFields count="1">
    <field x="1"/>
  </rowFields>
  <rowItems count="52">
    <i>
      <x/>
    </i>
    <i>
      <x v="1"/>
    </i>
    <i>
      <x v="2"/>
    </i>
    <i>
      <x v="4"/>
    </i>
    <i>
      <x v="5"/>
    </i>
    <i>
      <x v="6"/>
    </i>
    <i>
      <x v="7"/>
    </i>
    <i>
      <x v="8"/>
    </i>
    <i>
      <x v="9"/>
    </i>
    <i>
      <x v="10"/>
    </i>
    <i>
      <x v="11"/>
    </i>
    <i>
      <x v="13"/>
    </i>
    <i>
      <x v="14"/>
    </i>
    <i>
      <x v="15"/>
    </i>
    <i>
      <x v="16"/>
    </i>
    <i>
      <x v="17"/>
    </i>
    <i>
      <x v="18"/>
    </i>
    <i>
      <x v="19"/>
    </i>
    <i>
      <x v="20"/>
    </i>
    <i>
      <x v="21"/>
    </i>
    <i>
      <x v="22"/>
    </i>
    <i>
      <x v="23"/>
    </i>
    <i>
      <x v="24"/>
    </i>
    <i>
      <x v="25"/>
    </i>
    <i>
      <x v="26"/>
    </i>
    <i>
      <x v="28"/>
    </i>
    <i>
      <x v="29"/>
    </i>
    <i>
      <x v="30"/>
    </i>
    <i>
      <x v="31"/>
    </i>
    <i>
      <x v="32"/>
    </i>
    <i>
      <x v="33"/>
    </i>
    <i>
      <x v="34"/>
    </i>
    <i>
      <x v="35"/>
    </i>
    <i>
      <x v="36"/>
    </i>
    <i>
      <x v="37"/>
    </i>
    <i>
      <x v="38"/>
    </i>
    <i>
      <x v="39"/>
    </i>
    <i>
      <x v="40"/>
    </i>
    <i>
      <x v="41"/>
    </i>
    <i>
      <x v="43"/>
    </i>
    <i>
      <x v="44"/>
    </i>
    <i>
      <x v="45"/>
    </i>
    <i>
      <x v="46"/>
    </i>
    <i>
      <x v="47"/>
    </i>
    <i>
      <x v="48"/>
    </i>
    <i>
      <x v="49"/>
    </i>
    <i>
      <x v="50"/>
    </i>
    <i>
      <x v="51"/>
    </i>
    <i>
      <x v="52"/>
    </i>
    <i>
      <x v="54"/>
    </i>
    <i>
      <x v="55"/>
    </i>
    <i t="grand">
      <x/>
    </i>
  </rowItems>
  <colItems count="1">
    <i/>
  </colItems>
  <pageFields count="1">
    <pageField fld="0" hier="-1"/>
  </pageFields>
  <dataFields count="1">
    <dataField name="Sum of deat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C68EB5-1BE0-4823-97E8-6F1CF8DA214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fieldListSortAscending="1">
  <location ref="F3:I55" firstHeaderRow="0" firstDataRow="1" firstDataCol="1" rowPageCount="1" colPageCount="1"/>
  <pivotFields count="6">
    <pivotField axis="axisPage" showAll="0">
      <items count="8">
        <item x="1"/>
        <item x="3"/>
        <item x="6"/>
        <item x="4"/>
        <item x="2"/>
        <item x="0"/>
        <item x="5"/>
        <item t="default"/>
      </items>
    </pivotField>
    <pivotField axis="axisRow" showAll="0">
      <items count="57">
        <item x="0"/>
        <item x="1"/>
        <item x="2"/>
        <item m="1" x="55"/>
        <item x="3"/>
        <item x="4"/>
        <item x="5"/>
        <item x="6"/>
        <item x="7"/>
        <item x="8"/>
        <item x="9"/>
        <item x="10"/>
        <item m="1" x="52"/>
        <item x="11"/>
        <item x="12"/>
        <item x="13"/>
        <item x="14"/>
        <item x="15"/>
        <item x="16"/>
        <item x="17"/>
        <item x="18"/>
        <item x="19"/>
        <item x="20"/>
        <item x="21"/>
        <item x="22"/>
        <item x="23"/>
        <item x="24"/>
        <item m="1" x="51"/>
        <item x="25"/>
        <item x="26"/>
        <item x="27"/>
        <item x="28"/>
        <item x="29"/>
        <item x="30"/>
        <item x="31"/>
        <item x="32"/>
        <item x="33"/>
        <item x="34"/>
        <item x="35"/>
        <item x="36"/>
        <item x="37"/>
        <item x="38"/>
        <item m="1" x="54"/>
        <item x="39"/>
        <item x="40"/>
        <item x="41"/>
        <item x="42"/>
        <item x="43"/>
        <item x="44"/>
        <item x="45"/>
        <item m="1" x="53"/>
        <item x="46"/>
        <item x="47"/>
        <item x="48"/>
        <item x="49"/>
        <item x="50"/>
        <item t="default"/>
      </items>
    </pivotField>
    <pivotField showAll="0"/>
    <pivotField dataField="1" showAll="0"/>
    <pivotField dataField="1" showAll="0"/>
    <pivotField dataField="1" showAll="0"/>
  </pivotFields>
  <rowFields count="1">
    <field x="1"/>
  </rowFields>
  <rowItems count="52">
    <i>
      <x/>
    </i>
    <i>
      <x v="1"/>
    </i>
    <i>
      <x v="2"/>
    </i>
    <i>
      <x v="4"/>
    </i>
    <i>
      <x v="5"/>
    </i>
    <i>
      <x v="6"/>
    </i>
    <i>
      <x v="7"/>
    </i>
    <i>
      <x v="8"/>
    </i>
    <i>
      <x v="9"/>
    </i>
    <i>
      <x v="10"/>
    </i>
    <i>
      <x v="11"/>
    </i>
    <i>
      <x v="13"/>
    </i>
    <i>
      <x v="14"/>
    </i>
    <i>
      <x v="15"/>
    </i>
    <i>
      <x v="16"/>
    </i>
    <i>
      <x v="17"/>
    </i>
    <i>
      <x v="18"/>
    </i>
    <i>
      <x v="19"/>
    </i>
    <i>
      <x v="20"/>
    </i>
    <i>
      <x v="21"/>
    </i>
    <i>
      <x v="22"/>
    </i>
    <i>
      <x v="23"/>
    </i>
    <i>
      <x v="24"/>
    </i>
    <i>
      <x v="25"/>
    </i>
    <i>
      <x v="26"/>
    </i>
    <i>
      <x v="28"/>
    </i>
    <i>
      <x v="29"/>
    </i>
    <i>
      <x v="30"/>
    </i>
    <i>
      <x v="31"/>
    </i>
    <i>
      <x v="32"/>
    </i>
    <i>
      <x v="33"/>
    </i>
    <i>
      <x v="34"/>
    </i>
    <i>
      <x v="35"/>
    </i>
    <i>
      <x v="36"/>
    </i>
    <i>
      <x v="37"/>
    </i>
    <i>
      <x v="38"/>
    </i>
    <i>
      <x v="39"/>
    </i>
    <i>
      <x v="40"/>
    </i>
    <i>
      <x v="41"/>
    </i>
    <i>
      <x v="43"/>
    </i>
    <i>
      <x v="44"/>
    </i>
    <i>
      <x v="45"/>
    </i>
    <i>
      <x v="46"/>
    </i>
    <i>
      <x v="47"/>
    </i>
    <i>
      <x v="48"/>
    </i>
    <i>
      <x v="49"/>
    </i>
    <i>
      <x v="51"/>
    </i>
    <i>
      <x v="52"/>
    </i>
    <i>
      <x v="53"/>
    </i>
    <i>
      <x v="54"/>
    </i>
    <i>
      <x v="55"/>
    </i>
    <i t="grand">
      <x/>
    </i>
  </rowItems>
  <colFields count="1">
    <field x="-2"/>
  </colFields>
  <colItems count="3">
    <i>
      <x/>
    </i>
    <i i="1">
      <x v="1"/>
    </i>
    <i i="2">
      <x v="2"/>
    </i>
  </colItems>
  <pageFields count="1">
    <pageField fld="0" hier="-1"/>
  </pageFields>
  <dataFields count="3">
    <dataField name="Sum of deathIncrease" fld="5" baseField="0" baseItem="0"/>
    <dataField name="Sum of positiveIncrease" fld="3" baseField="0" baseItem="0"/>
    <dataField name="Sum of totalTestResultsIncrease" fld="4" baseField="0" baseItem="0"/>
  </dataFields>
  <formats count="2">
    <format dxfId="94">
      <pivotArea dataOnly="0" labelOnly="1" outline="0" fieldPosition="0">
        <references count="1">
          <reference field="4294967294" count="3">
            <x v="0"/>
            <x v="1"/>
            <x v="2"/>
          </reference>
        </references>
      </pivotArea>
    </format>
    <format dxfId="93">
      <pivotArea field="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63CBEEFC-598E-49E6-8D66-9470B565BA11}"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4"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1811C7-CC05-4691-998B-DB16C1CCB3B9}" name="rt" displayName="rt" ref="B3:D54" tableType="queryTable" totalsRowShown="0">
  <autoFilter ref="B3:D54" xr:uid="{240322F1-7F8A-4651-A4D4-67E925FC82EA}"/>
  <tableColumns count="3">
    <tableColumn id="1" xr3:uid="{E6B88823-7421-4E24-B19F-234BD888D591}" uniqueName="1" name="Column1" queryTableFieldId="1" dataDxfId="92"/>
    <tableColumn id="2" xr3:uid="{6123CBF2-6DD2-4A53-9C33-F8A7C29B790C}" uniqueName="2" name="Column2" queryTableFieldId="2" dataDxfId="91"/>
    <tableColumn id="3" xr3:uid="{89CC1CD9-7126-4E02-BD13-D53712F72526}" uniqueName="3" name="Column4" queryTableFieldId="3" dataDxfId="9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C15:AG66" totalsRowShown="0" headerRowDxfId="89">
  <autoFilter ref="C15:AG66" xr:uid="{00000000-0009-0000-0100-000001000000}"/>
  <sortState xmlns:xlrd2="http://schemas.microsoft.com/office/spreadsheetml/2017/richdata2" ref="C16:AG66">
    <sortCondition ref="C15:C66"/>
  </sortState>
  <tableColumns count="31">
    <tableColumn id="1" xr3:uid="{00000000-0010-0000-0000-000001000000}" name="State"/>
    <tableColumn id="9" xr3:uid="{CBBBEC05-AC6C-4E76-8D45-D25C11A32777}" name="Population" dataDxfId="88"/>
    <tableColumn id="16" xr3:uid="{A3479702-4A16-4587-BBF1-ABDCDC551690}" name="Social Index Current" dataDxfId="87" dataCellStyle="Note"/>
    <tableColumn id="15" xr3:uid="{3B511828-B0E8-45C9-9B9F-11B0A7625C6B}" name="Change in SD index" dataDxfId="86" dataCellStyle="Note">
      <calculatedColumnFormula>Table1[[#This Row],[Social Index Current]]-Table1[[#This Row],[SD Past]]</calculatedColumnFormula>
    </tableColumn>
    <tableColumn id="2" xr3:uid="{00000000-0010-0000-0000-000002000000}" name="SD Past" dataDxfId="85" dataCellStyle="Note"/>
    <tableColumn id="3" xr3:uid="{00000000-0010-0000-0000-000003000000}" name="Rt Current" dataDxfId="84"/>
    <tableColumn id="10" xr3:uid="{E680E94A-E595-4FF8-91AC-9FC4C0BA390A}" name="Rt Past" dataDxfId="83" dataCellStyle="Note"/>
    <tableColumn id="17" xr3:uid="{D7AC0B91-257F-461A-BE96-AA888923C0C1}" name="Change in Rt" dataDxfId="82" dataCellStyle="Note">
      <calculatedColumnFormula>Table1[[#This Row],[Rt Current]]-Table1[[#This Row],[Rt Past]]</calculatedColumnFormula>
    </tableColumn>
    <tableColumn id="6" xr3:uid="{CE4B51E6-3040-4265-9E2A-F7D8E64DCDAD}" name="Stratified Rt" dataDxfId="81">
      <calculatedColumnFormula>VLOOKUP(Table1[[#This Row],[Rt Current]],$G$3:$I$12,3)*5</calculatedColumnFormula>
    </tableColumn>
    <tableColumn id="4" xr3:uid="{00000000-0010-0000-0000-000004000000}" name="tests per case" dataDxfId="80"/>
    <tableColumn id="29" xr3:uid="{42A0618A-6C5A-4807-805F-A32088D23E0E}" name="Test Increase Current" dataDxfId="79" dataCellStyle="Note"/>
    <tableColumn id="31" xr3:uid="{63BB622A-1810-4F0C-AE2F-5992C506F565}" name="Change in Pos Test Increase" dataDxfId="78">
      <calculatedColumnFormula>Table1[[#This Row],[Increase in Pos Tests Past]]-Table1[[#This Row],[Test Increase Current]]</calculatedColumnFormula>
    </tableColumn>
    <tableColumn id="30" xr3:uid="{3C9B796C-DD46-48CB-88A7-6226810A7787}" name="Increase in Pos Tests Past" dataDxfId="77" dataCellStyle="Note"/>
    <tableColumn id="26" xr3:uid="{FD7B9B02-3860-4E85-BD47-5ECA1DEA0E0E}" name="Per Capita Positive Tests (July 07 - July 13) per 100K" dataDxfId="76">
      <calculatedColumnFormula>Table1[[#This Row],[Test Increase Current]]/Table1[[#This Row],[Population]]*100000</calculatedColumnFormula>
    </tableColumn>
    <tableColumn id="11" xr3:uid="{00000000-0010-0000-0000-00000B000000}" name="TPR Current" dataDxfId="75" dataCellStyle="Percent"/>
    <tableColumn id="18" xr3:uid="{4814D037-6637-4260-B0E7-14C5A85B6944}" name="Change in Test Positive Rate" dataDxfId="74" dataCellStyle="Percent">
      <calculatedColumnFormula>Table1[[#This Row],[TPR Current]]-Table1[[#This Row],[TPR Past]]</calculatedColumnFormula>
    </tableColumn>
    <tableColumn id="19" xr3:uid="{93F6C7D1-3F13-4F08-9D80-D6F9DBFF6289}" name="TPR Past" dataDxfId="73" dataCellStyle="Percent"/>
    <tableColumn id="7" xr3:uid="{00000000-0010-0000-0000-000007000000}" name="Stratified Test Positive Rate" dataDxfId="72">
      <calculatedColumnFormula>VLOOKUP(Table1[[#This Row],[TPR Current]],$J$3:$L$8,3)*5</calculatedColumnFormula>
    </tableColumn>
    <tableColumn id="8" xr3:uid="{00000000-0010-0000-0000-000008000000}" name="Outbreak Index" dataDxfId="71">
      <calculatedColumnFormula>SUM(Table1[[#This Row],[Stratified Test Positive Rate]]+Table1[[#This Row],[Stratified Rt]])</calculatedColumnFormula>
    </tableColumn>
    <tableColumn id="12" xr3:uid="{ABBA261F-8205-49DE-AEEA-CC2EF88E8634}" name="Weekly Deaths Current" dataDxfId="70"/>
    <tableColumn id="20" xr3:uid="{FB28C2C0-4F3B-4B8E-AAE1-392A1EEB0B5E}" name="Change in Weekly Deaths" dataDxfId="69" dataCellStyle="Note">
      <calculatedColumnFormula>Table1[[#This Row],[Weekly Deaths Current]]-Table1[[#This Row],[Weekly Deaths Past]]</calculatedColumnFormula>
    </tableColumn>
    <tableColumn id="21" xr3:uid="{A796DC54-8CE4-4EE6-A922-723DD4004FEC}" name="Weekly Deaths Past" dataDxfId="68" dataCellStyle="Note"/>
    <tableColumn id="5" xr3:uid="{00000000-0010-0000-0000-000005000000}" name="Weekly Death Rate per 100K Population" dataDxfId="67">
      <calculatedColumnFormula>Table1[[#This Row],[Weekly Deaths Current]]/Table1[[#This Row],[Population]]*100000</calculatedColumnFormula>
    </tableColumn>
    <tableColumn id="13" xr3:uid="{3D81E982-8535-45B0-B981-037027F1C89E}" name="Total Deaths Current" dataDxfId="66"/>
    <tableColumn id="22" xr3:uid="{1BC0A54F-6995-4F0D-8CD9-288B99CAAC9D}" name="Change in Total Deaths" dataDxfId="65" dataCellStyle="Note">
      <calculatedColumnFormula>Table1[[#This Row],[Total Deaths Current]]-Table1[[#This Row],[Total Deaths Past]]</calculatedColumnFormula>
    </tableColumn>
    <tableColumn id="23" xr3:uid="{3C486120-43B6-40EF-B469-16DCFF77ABD5}" name="Total Deaths Past" dataDxfId="64" dataCellStyle="Note"/>
    <tableColumn id="14" xr3:uid="{C9AB2F02-DBE1-4C33-978C-969F33282862}" name="Cumulative Death Rate per 100K" dataDxfId="63">
      <calculatedColumnFormula>Table1[[#This Row],[Total Deaths Current]]/Table1[[#This Row],[Population]]*100000</calculatedColumnFormula>
    </tableColumn>
    <tableColumn id="24" xr3:uid="{4C59552D-B1C2-4D1C-95F7-7437952EA289}" name="Total Tests Current" dataDxfId="62"/>
    <tableColumn id="27" xr3:uid="{8FD22C95-9C56-40A7-B67A-A7E1AE5BEB39}" name="Change in Total Tests" dataDxfId="61">
      <calculatedColumnFormula>Table1[[#This Row],[Total Tests Current]]-Table1[[#This Row],[Total Tests Past]]</calculatedColumnFormula>
    </tableColumn>
    <tableColumn id="28" xr3:uid="{72D711DD-B192-4460-88AB-08DE40299970}" name="Total Tests Past" dataDxfId="60"/>
    <tableColumn id="25" xr3:uid="{BC8DA35B-AD0E-421C-9FE3-9B83BFF0A487}" name="Tests per 100K Population" dataDxfId="59">
      <calculatedColumnFormula>(Table1[[#This Row],[Total Tests Current]]/Table1[[#This Row],[Population]])*100000</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E38743-91E8-430E-827F-6BE2261AEAAD}" name="Table13" displayName="Table13" ref="B15:AF39" totalsRowShown="0" headerRowDxfId="58">
  <autoFilter ref="B15:AF39" xr:uid="{00000000-0009-0000-0100-000001000000}"/>
  <sortState xmlns:xlrd2="http://schemas.microsoft.com/office/spreadsheetml/2017/richdata2" ref="B16:AF39">
    <sortCondition ref="B15:B39"/>
  </sortState>
  <tableColumns count="31">
    <tableColumn id="1" xr3:uid="{23D43916-7E72-4EFD-B7B7-5114FCF35F6D}" name="State"/>
    <tableColumn id="9" xr3:uid="{F0E2E744-0119-4007-A001-A6F1E9F4766F}" name="Population" dataDxfId="57"/>
    <tableColumn id="16" xr3:uid="{F7258CAF-587C-4191-87E6-A456FD28D613}" name="Social Dist Index Current" dataDxfId="56" dataCellStyle="Note"/>
    <tableColumn id="15" xr3:uid="{A4AF792E-DEC4-49CF-8F4B-37C1F0D837A1}" name="Change in SD index" dataDxfId="55" dataCellStyle="Note"/>
    <tableColumn id="2" xr3:uid="{C018F6F6-11D7-4DEE-B3E0-8F6780EF1C94}" name="Social Dist Index Past" dataDxfId="54" dataCellStyle="Note"/>
    <tableColumn id="3" xr3:uid="{FFF315B1-8532-44C2-9794-CAA2354F1744}" name="Rt Current"/>
    <tableColumn id="10" xr3:uid="{6FEBDE42-8220-436C-9514-1F16AAD5BEC1}" name="Rt  Past" dataDxfId="53" dataCellStyle="Note"/>
    <tableColumn id="17" xr3:uid="{6943A2CE-9405-4732-AB6A-2FC634003A89}" name="Change in Rt" dataDxfId="52" dataCellStyle="Note"/>
    <tableColumn id="6" xr3:uid="{2917A8CD-F54F-4E02-9197-7CE2CC558B63}" name="Stratified Rt" dataDxfId="51"/>
    <tableColumn id="4" xr3:uid="{F36F694D-F639-4843-BC11-6DD0384AF65D}" name="tests per case" dataDxfId="50"/>
    <tableColumn id="29" xr3:uid="{7D9DD452-F703-4C7D-8014-FACF3A139B0E}" name="Increase in Pos Tests Current" dataDxfId="49" dataCellStyle="Note"/>
    <tableColumn id="31" xr3:uid="{95DABD95-A470-4AC4-BAB8-A0B97327B5E8}" name="Change in Pos Test Increase" dataDxfId="48"/>
    <tableColumn id="30" xr3:uid="{683D0537-5E6F-49AF-BF39-33FA1E053EFC}" name="Increase in Pos Tests  Past"/>
    <tableColumn id="26" xr3:uid="{F4C7BACB-C541-4ACC-8058-2D54A2A2901F}" name="Per Capita Positive Tests (July 07 - July 13) per 100K" dataDxfId="47"/>
    <tableColumn id="11" xr3:uid="{FC5AB7C1-C6B6-4916-8F24-59A886AAC8AC}" name="Test Positive Rate Current" dataDxfId="46" dataCellStyle="Percent"/>
    <tableColumn id="18" xr3:uid="{957785F1-7967-4921-B8C4-09E9B91BDA5C}" name="Change in Test Positive Rate" dataDxfId="45" dataCellStyle="Percent"/>
    <tableColumn id="19" xr3:uid="{A97036D6-CEA9-421A-903C-D843CF826937}" name="Test Positive Rate Past" dataDxfId="44" dataCellStyle="Note"/>
    <tableColumn id="7" xr3:uid="{18F544B1-A47E-43ED-B99B-23FF68DA0991}" name="Stratified Test Positive Rate" dataDxfId="43"/>
    <tableColumn id="8" xr3:uid="{A5444D43-7784-4A35-BD0A-C1EF66A83DE1}" name="Outbreak Index" dataDxfId="42"/>
    <tableColumn id="12" xr3:uid="{F919A7C2-3357-4927-B3FE-DDE3B7E0972D}" name="Deaths in last 7 days Current" dataDxfId="41"/>
    <tableColumn id="20" xr3:uid="{4AD4201A-766B-4838-9A0B-159D299AD6C6}" name="Change in Weekly Deaths" dataDxfId="40" dataCellStyle="Note"/>
    <tableColumn id="21" xr3:uid="{8B895E75-C63C-44AD-8348-CA096E0B5B5E}" name="Deaths in last 7 days Past" dataDxfId="39" dataCellStyle="Note"/>
    <tableColumn id="5" xr3:uid="{E14396C6-84BB-4679-B114-71BA09C5031B}" name="Weekly Death Rate per 100K Population" dataDxfId="38"/>
    <tableColumn id="13" xr3:uid="{C56AF5A2-B011-4A50-9420-21D44EAFB2AF}" name="Total Deaths Current" dataDxfId="37"/>
    <tableColumn id="22" xr3:uid="{EF0C96CB-CD67-4DBD-A0F9-E37284313CD7}" name="Change in Total Deaths" dataDxfId="36" dataCellStyle="Note"/>
    <tableColumn id="23" xr3:uid="{7D8E0453-48E1-4109-AD0B-842E469630EC}" name="Total Deaths Past" dataDxfId="35" dataCellStyle="Note"/>
    <tableColumn id="14" xr3:uid="{00C1929C-91FC-45DB-9BC7-B87E886ADEC5}" name="Cumulative Death Rate per 100K" dataDxfId="34"/>
    <tableColumn id="24" xr3:uid="{48A27A81-505F-4D7C-B687-EF771962F079}" name="Total Tests Current" dataDxfId="33"/>
    <tableColumn id="27" xr3:uid="{C39FC422-8EB9-4802-A75C-5042E2B8F2C8}" name="Change in Total Tests" dataDxfId="32"/>
    <tableColumn id="28" xr3:uid="{6846F095-BBA4-4B06-8F39-352AFF9625EA}" name="Total Tests Past"/>
    <tableColumn id="25" xr3:uid="{F8781CB5-4A05-49F2-9F43-5281D715D812}" name="Tests per 100K Population" dataDxfId="3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22FF4A-E119-42A1-977C-A69BB1899EA7}" name="Table14" displayName="Table14" ref="B15:AF37" totalsRowShown="0" headerRowDxfId="30">
  <autoFilter ref="B15:AF37" xr:uid="{00000000-0009-0000-0100-000001000000}"/>
  <sortState xmlns:xlrd2="http://schemas.microsoft.com/office/spreadsheetml/2017/richdata2" ref="B16:AF37">
    <sortCondition ref="B15:B37"/>
  </sortState>
  <tableColumns count="31">
    <tableColumn id="1" xr3:uid="{A29BCBD5-2290-4A0E-A2CB-46DCA59892F0}" name="State"/>
    <tableColumn id="9" xr3:uid="{77778CC1-42EB-445B-B32F-ECA9D2F00D5A}" name="Population" dataDxfId="29"/>
    <tableColumn id="16" xr3:uid="{297C041D-F9EB-4186-A866-407D8F819242}" name="Social Dist Index Current" dataDxfId="28" dataCellStyle="Note"/>
    <tableColumn id="15" xr3:uid="{6168695C-3308-4870-A8CE-3B634D00E2F1}" name="Change in SD index" dataDxfId="27" dataCellStyle="Note"/>
    <tableColumn id="2" xr3:uid="{B8D7366B-460D-4D6C-956C-F97A1444E03B}" name="Social Dist Index Past" dataDxfId="26" dataCellStyle="Note"/>
    <tableColumn id="3" xr3:uid="{224A2CF6-0AB5-46C3-AE1C-47B7151AE25F}" name="Rt Current" dataDxfId="25" dataCellStyle="Note"/>
    <tableColumn id="10" xr3:uid="{419CC0F9-E433-4B71-BF4E-EB184147D887}" name="Rt Past" dataDxfId="24" dataCellStyle="Note"/>
    <tableColumn id="17" xr3:uid="{22EE7032-02BE-492E-98C3-ECB5CC2B66C0}" name="Change in Rt" dataDxfId="23" dataCellStyle="Note"/>
    <tableColumn id="6" xr3:uid="{BD874E84-08D8-4FA2-8218-62294E69B739}" name="Stratified Rt" dataDxfId="22" dataCellStyle="Note"/>
    <tableColumn id="4" xr3:uid="{7ADD49CA-B7BC-4591-B403-26B0199554C8}" name="tests per case" dataDxfId="21" dataCellStyle="Note"/>
    <tableColumn id="29" xr3:uid="{FF55DDAF-02B5-4327-82B4-1F106F20523F}" name="Increase in Pos Tests Current" dataDxfId="20" dataCellStyle="Note"/>
    <tableColumn id="31" xr3:uid="{70CBB653-6EB2-410A-ADBF-C0D772771E78}" name="Change in Pos Test Increase" dataDxfId="19" dataCellStyle="Note"/>
    <tableColumn id="30" xr3:uid="{344E7E42-9165-4E71-AABC-5BCAA696F1C2}" name="Increase in Pos Tests Past" dataDxfId="18" dataCellStyle="Note"/>
    <tableColumn id="26" xr3:uid="{C4022F76-71A8-483D-BA43-4B25DBA6E1BD}" name="Per Capita Positive Tests (July 07 - July 13) per 100K" dataDxfId="17" dataCellStyle="Note"/>
    <tableColumn id="11" xr3:uid="{F6F3A4FE-FAAB-4A88-9D2B-8E870F38E4EA}" name="Test Positive Rate Current" dataDxfId="16" dataCellStyle="Note"/>
    <tableColumn id="18" xr3:uid="{21BEDC72-3750-4A18-BD77-2590ABEDCC85}" name="Change in Test Positive Rate" dataDxfId="15" dataCellStyle="Note"/>
    <tableColumn id="19" xr3:uid="{55119F4F-4423-4902-AD53-E6ACD8F58CBE}" name="Test Positive Rate Past" dataDxfId="14" dataCellStyle="Note"/>
    <tableColumn id="7" xr3:uid="{38989839-3F2E-41E0-B81B-F0E5B2FEAA9D}" name="Stratified Test Positive Rate" dataDxfId="13" dataCellStyle="Note"/>
    <tableColumn id="8" xr3:uid="{439FF8D3-7502-46C8-8CC5-7E7CCD8F7420}" name="Outbreak Index" dataDxfId="12" dataCellStyle="Note"/>
    <tableColumn id="12" xr3:uid="{09F6A498-65EB-443C-8694-2835D92A20EF}" name="Deaths in last 7 days Current" dataDxfId="11" dataCellStyle="Note"/>
    <tableColumn id="20" xr3:uid="{5A57B4AD-8525-4BE0-9319-0B72E3085AB3}" name="Change in Weekly Deaths" dataDxfId="10" dataCellStyle="Note"/>
    <tableColumn id="21" xr3:uid="{F30A36E1-5C2E-4502-9942-EC4C6B1BE23B}" name="Deaths in last 7 days Past" dataDxfId="9" dataCellStyle="Note"/>
    <tableColumn id="5" xr3:uid="{44084EE6-4842-400D-A259-99C921DC1769}" name="Weekly Death Rate per 100K Population" dataDxfId="8" dataCellStyle="Note"/>
    <tableColumn id="13" xr3:uid="{F704AA34-3DFC-4978-BE4B-1C006754CD5F}" name="Total Deaths Current" dataDxfId="7" dataCellStyle="Note"/>
    <tableColumn id="22" xr3:uid="{E69073ED-20F0-4692-BCE0-2FC233D31A9D}" name="Change in Total Deaths" dataDxfId="6" dataCellStyle="Note"/>
    <tableColumn id="23" xr3:uid="{8939FB62-9A9A-4776-B60A-B5ABFA888A9E}" name="Total Deaths Past" dataDxfId="5" dataCellStyle="Note"/>
    <tableColumn id="14" xr3:uid="{D0FCF7FC-359F-4386-B0EC-ABFAEE1343F9}" name="Cumulative Death Rate per 100K" dataDxfId="4" dataCellStyle="Note"/>
    <tableColumn id="24" xr3:uid="{9E296F49-DCBB-45FF-AF23-02DA0761285D}" name="Total Tests Current" dataDxfId="3" dataCellStyle="Note"/>
    <tableColumn id="27" xr3:uid="{30A5EC02-6459-44FB-8DC0-17FB7B177147}" name="Change in Total Tests" dataDxfId="2" dataCellStyle="Note"/>
    <tableColumn id="28" xr3:uid="{B97DE5D0-B591-47DD-8F30-F666C89008EB}" name="Total Tests Past" dataDxfId="1" dataCellStyle="Note"/>
    <tableColumn id="25" xr3:uid="{1C9642F8-3CF2-4ABB-BD84-F2361D7C6243}" name="Tests per 100K Population" dataDxfId="0" dataCellStyle="Not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FA981-B3DC-4471-B253-B2BC19A09FD7}">
  <sheetPr codeName="Sheet1"/>
  <dimension ref="A1:W150"/>
  <sheetViews>
    <sheetView topLeftCell="F1" zoomScale="96" zoomScaleNormal="96" workbookViewId="0">
      <selection activeCell="I4" sqref="I4:I54"/>
    </sheetView>
  </sheetViews>
  <sheetFormatPr defaultRowHeight="15" x14ac:dyDescent="0.25"/>
  <cols>
    <col min="1" max="1" width="9.140625" style="91"/>
    <col min="2" max="3" width="11.140625" bestFit="1" customWidth="1"/>
    <col min="4" max="4" width="12.42578125" bestFit="1" customWidth="1"/>
    <col min="6" max="6" width="13.28515625" bestFit="1" customWidth="1"/>
    <col min="7" max="7" width="22.42578125" customWidth="1"/>
    <col min="8" max="8" width="32.28515625" customWidth="1"/>
    <col min="9" max="9" width="33" customWidth="1"/>
    <col min="11" max="11" width="10.85546875" customWidth="1"/>
    <col min="12" max="12" width="12" customWidth="1"/>
    <col min="14" max="14" width="18.7109375" customWidth="1"/>
    <col min="15" max="15" width="13.28515625" bestFit="1" customWidth="1"/>
    <col min="16" max="16" width="12.85546875" bestFit="1" customWidth="1"/>
  </cols>
  <sheetData>
    <row r="1" spans="2:23" x14ac:dyDescent="0.25">
      <c r="B1" s="103" t="s">
        <v>265</v>
      </c>
      <c r="C1" s="103"/>
      <c r="D1" s="103"/>
      <c r="E1" s="91"/>
      <c r="F1" s="92" t="s">
        <v>260</v>
      </c>
      <c r="G1" t="s">
        <v>268</v>
      </c>
      <c r="H1" s="104" t="s">
        <v>276</v>
      </c>
      <c r="I1" s="104"/>
      <c r="J1" s="91"/>
      <c r="K1" s="91"/>
      <c r="L1" s="91"/>
      <c r="M1" s="91"/>
      <c r="N1" s="91"/>
      <c r="O1" s="92" t="s">
        <v>260</v>
      </c>
      <c r="P1" s="93">
        <v>20200803</v>
      </c>
      <c r="Q1" s="91"/>
      <c r="R1" s="91"/>
      <c r="S1" s="91"/>
      <c r="T1" s="91"/>
      <c r="U1" s="91"/>
      <c r="V1" s="91"/>
      <c r="W1" s="91"/>
    </row>
    <row r="2" spans="2:23" x14ac:dyDescent="0.25">
      <c r="B2" s="103"/>
      <c r="C2" s="103"/>
      <c r="D2" s="103"/>
      <c r="E2" s="91"/>
      <c r="F2" s="91"/>
      <c r="G2" s="91"/>
      <c r="H2" s="104"/>
      <c r="I2" s="104"/>
      <c r="J2" s="91"/>
      <c r="K2" s="91"/>
      <c r="L2" s="91"/>
      <c r="M2" s="91"/>
      <c r="N2" s="91"/>
      <c r="O2" s="91"/>
      <c r="P2" s="91"/>
      <c r="Q2" s="91"/>
      <c r="R2" s="91"/>
      <c r="S2" s="91"/>
      <c r="T2" s="91"/>
      <c r="U2" s="91"/>
      <c r="V2" s="91"/>
      <c r="W2" s="91"/>
    </row>
    <row r="3" spans="2:23" x14ac:dyDescent="0.25">
      <c r="B3" t="s">
        <v>261</v>
      </c>
      <c r="C3" t="s">
        <v>262</v>
      </c>
      <c r="D3" t="s">
        <v>263</v>
      </c>
      <c r="E3" s="91"/>
      <c r="F3" s="98" t="s">
        <v>266</v>
      </c>
      <c r="G3" s="63" t="s">
        <v>270</v>
      </c>
      <c r="H3" s="63" t="s">
        <v>271</v>
      </c>
      <c r="I3" s="63" t="s">
        <v>272</v>
      </c>
      <c r="J3" s="96"/>
      <c r="K3" s="97" t="s">
        <v>274</v>
      </c>
      <c r="L3" s="97" t="s">
        <v>275</v>
      </c>
      <c r="M3" s="94" t="s">
        <v>273</v>
      </c>
      <c r="N3" s="91"/>
      <c r="O3" s="92" t="s">
        <v>266</v>
      </c>
      <c r="P3" t="s">
        <v>269</v>
      </c>
      <c r="Q3" s="91"/>
      <c r="R3" s="91"/>
      <c r="S3" s="91"/>
      <c r="T3" s="91"/>
      <c r="U3" s="91"/>
      <c r="V3" s="91"/>
      <c r="W3" s="91"/>
    </row>
    <row r="4" spans="2:23" x14ac:dyDescent="0.25">
      <c r="B4" s="88" t="s">
        <v>264</v>
      </c>
      <c r="C4" s="88" t="s">
        <v>62</v>
      </c>
      <c r="D4" s="88">
        <v>1.11507690436655</v>
      </c>
      <c r="E4" s="91"/>
      <c r="F4" s="93" t="s">
        <v>62</v>
      </c>
      <c r="G4" s="88">
        <v>4</v>
      </c>
      <c r="H4" s="88">
        <v>858</v>
      </c>
      <c r="I4" s="88">
        <v>38439</v>
      </c>
      <c r="J4" s="91"/>
      <c r="K4" s="95">
        <v>858</v>
      </c>
      <c r="L4" s="95">
        <v>38439</v>
      </c>
      <c r="M4" s="101">
        <f>SUM(K4/L4)</f>
        <v>2.2321080152969641E-2</v>
      </c>
      <c r="N4" s="102"/>
      <c r="O4" s="93" t="s">
        <v>62</v>
      </c>
      <c r="P4" s="88">
        <v>25</v>
      </c>
      <c r="Q4" s="91"/>
      <c r="R4" s="91"/>
      <c r="S4" s="91"/>
      <c r="T4" s="91"/>
      <c r="U4" s="91"/>
      <c r="V4" s="91"/>
      <c r="W4" s="91"/>
    </row>
    <row r="5" spans="2:23" x14ac:dyDescent="0.25">
      <c r="B5" s="88" t="s">
        <v>264</v>
      </c>
      <c r="C5" s="88" t="s">
        <v>40</v>
      </c>
      <c r="D5" s="88">
        <v>1.11194417762822</v>
      </c>
      <c r="E5" s="91"/>
      <c r="F5" s="93" t="s">
        <v>40</v>
      </c>
      <c r="G5" s="88">
        <v>142</v>
      </c>
      <c r="H5" s="88">
        <v>11546</v>
      </c>
      <c r="I5" s="88">
        <v>56092</v>
      </c>
      <c r="J5" s="91"/>
      <c r="K5" s="95">
        <v>11546</v>
      </c>
      <c r="L5" s="95">
        <v>56092</v>
      </c>
      <c r="M5" s="101">
        <f t="shared" ref="M5:M54" si="0">SUM(K5/L5)</f>
        <v>0.20584040504884832</v>
      </c>
      <c r="N5" s="91"/>
      <c r="O5" s="93" t="s">
        <v>40</v>
      </c>
      <c r="P5" s="88">
        <v>1633</v>
      </c>
      <c r="Q5" s="91"/>
      <c r="R5" s="91"/>
      <c r="S5" s="91"/>
      <c r="T5" s="91"/>
      <c r="U5" s="91"/>
      <c r="V5" s="91"/>
      <c r="W5" s="91"/>
    </row>
    <row r="6" spans="2:23" x14ac:dyDescent="0.25">
      <c r="B6" s="88" t="s">
        <v>264</v>
      </c>
      <c r="C6" s="88" t="s">
        <v>41</v>
      </c>
      <c r="D6" s="88">
        <v>1.0370651420877299</v>
      </c>
      <c r="E6" s="91"/>
      <c r="F6" s="93" t="s">
        <v>41</v>
      </c>
      <c r="G6" s="88">
        <v>67</v>
      </c>
      <c r="H6" s="88">
        <v>5150</v>
      </c>
      <c r="I6" s="88">
        <v>42509</v>
      </c>
      <c r="J6" s="91"/>
      <c r="K6" s="95">
        <v>5150</v>
      </c>
      <c r="L6" s="95">
        <v>42509</v>
      </c>
      <c r="M6" s="101">
        <f t="shared" si="0"/>
        <v>0.12115081512150368</v>
      </c>
      <c r="N6" s="91"/>
      <c r="O6" s="93" t="s">
        <v>41</v>
      </c>
      <c r="P6" s="88">
        <v>475</v>
      </c>
      <c r="Q6" s="91"/>
      <c r="R6" s="91"/>
      <c r="S6" s="91"/>
      <c r="T6" s="91"/>
      <c r="U6" s="91"/>
      <c r="V6" s="91"/>
      <c r="W6" s="91"/>
    </row>
    <row r="7" spans="2:23" x14ac:dyDescent="0.25">
      <c r="B7" s="88" t="s">
        <v>264</v>
      </c>
      <c r="C7" s="88" t="s">
        <v>42</v>
      </c>
      <c r="D7" s="88">
        <v>0.9034084188282</v>
      </c>
      <c r="E7" s="91"/>
      <c r="F7" s="93" t="s">
        <v>42</v>
      </c>
      <c r="G7" s="88">
        <v>475</v>
      </c>
      <c r="H7" s="88">
        <v>15670</v>
      </c>
      <c r="I7" s="88">
        <v>86085</v>
      </c>
      <c r="J7" s="91"/>
      <c r="K7" s="95">
        <v>15670</v>
      </c>
      <c r="L7" s="95">
        <v>86085</v>
      </c>
      <c r="M7" s="101">
        <f t="shared" si="0"/>
        <v>0.18202938955683337</v>
      </c>
      <c r="N7" s="91"/>
      <c r="O7" s="93" t="s">
        <v>42</v>
      </c>
      <c r="P7" s="88">
        <v>3779</v>
      </c>
      <c r="Q7" s="91"/>
      <c r="R7" s="91"/>
      <c r="S7" s="91"/>
      <c r="T7" s="91"/>
      <c r="U7" s="91"/>
      <c r="V7" s="91"/>
      <c r="W7" s="91"/>
    </row>
    <row r="8" spans="2:23" x14ac:dyDescent="0.25">
      <c r="B8" s="88" t="s">
        <v>264</v>
      </c>
      <c r="C8" s="88" t="s">
        <v>18</v>
      </c>
      <c r="D8" s="100">
        <v>0.97008807894890403</v>
      </c>
      <c r="E8" s="91"/>
      <c r="F8" s="93" t="s">
        <v>18</v>
      </c>
      <c r="G8" s="88">
        <v>943</v>
      </c>
      <c r="H8" s="88">
        <v>54351</v>
      </c>
      <c r="I8" s="88">
        <v>888118</v>
      </c>
      <c r="J8" s="91"/>
      <c r="K8" s="95">
        <v>54351</v>
      </c>
      <c r="L8" s="95">
        <v>888118</v>
      </c>
      <c r="M8" s="101">
        <f t="shared" si="0"/>
        <v>6.1197948921201915E-2</v>
      </c>
      <c r="N8" s="91"/>
      <c r="O8" s="93" t="s">
        <v>18</v>
      </c>
      <c r="P8" s="88">
        <v>9388</v>
      </c>
      <c r="Q8" s="91"/>
      <c r="R8" s="91"/>
      <c r="S8" s="91"/>
      <c r="T8" s="91"/>
      <c r="U8" s="91"/>
      <c r="V8" s="91"/>
      <c r="W8" s="91"/>
    </row>
    <row r="9" spans="2:23" x14ac:dyDescent="0.25">
      <c r="B9" s="88" t="s">
        <v>264</v>
      </c>
      <c r="C9" s="88" t="s">
        <v>43</v>
      </c>
      <c r="D9" s="100">
        <v>1.03777467304077</v>
      </c>
      <c r="E9" s="91"/>
      <c r="F9" s="93" t="s">
        <v>43</v>
      </c>
      <c r="G9" s="88">
        <v>30</v>
      </c>
      <c r="H9" s="88">
        <v>3380</v>
      </c>
      <c r="I9" s="88">
        <v>49424</v>
      </c>
      <c r="J9" s="91"/>
      <c r="K9" s="95">
        <v>3380</v>
      </c>
      <c r="L9" s="95">
        <v>49424</v>
      </c>
      <c r="M9" s="101">
        <f t="shared" si="0"/>
        <v>6.8387827775979279E-2</v>
      </c>
      <c r="N9" s="91"/>
      <c r="O9" s="93" t="s">
        <v>43</v>
      </c>
      <c r="P9" s="88">
        <v>1691</v>
      </c>
      <c r="Q9" s="91"/>
      <c r="R9" s="91"/>
      <c r="S9" s="91"/>
      <c r="T9" s="91"/>
      <c r="U9" s="91"/>
      <c r="V9" s="91"/>
      <c r="W9" s="91"/>
    </row>
    <row r="10" spans="2:23" x14ac:dyDescent="0.25">
      <c r="B10" s="88" t="s">
        <v>264</v>
      </c>
      <c r="C10" s="88" t="s">
        <v>19</v>
      </c>
      <c r="D10" s="100">
        <v>1.04903166994224</v>
      </c>
      <c r="E10" s="91"/>
      <c r="F10" s="93" t="s">
        <v>19</v>
      </c>
      <c r="G10" s="88">
        <v>19</v>
      </c>
      <c r="H10" s="88">
        <v>1079</v>
      </c>
      <c r="I10" s="88">
        <v>84131</v>
      </c>
      <c r="J10" s="91"/>
      <c r="K10" s="95">
        <v>1079</v>
      </c>
      <c r="L10" s="95">
        <v>84131</v>
      </c>
      <c r="M10" s="101">
        <f t="shared" si="0"/>
        <v>1.2825236833034197E-2</v>
      </c>
      <c r="N10" s="91"/>
      <c r="O10" s="93" t="s">
        <v>19</v>
      </c>
      <c r="P10" s="88">
        <v>4437</v>
      </c>
      <c r="Q10" s="91"/>
      <c r="R10" s="91"/>
      <c r="S10" s="91"/>
      <c r="T10" s="91"/>
      <c r="U10" s="91"/>
      <c r="V10" s="91"/>
      <c r="W10" s="91"/>
    </row>
    <row r="11" spans="2:23" x14ac:dyDescent="0.25">
      <c r="B11" s="88" t="s">
        <v>264</v>
      </c>
      <c r="C11" s="88" t="s">
        <v>20</v>
      </c>
      <c r="D11" s="100">
        <v>1.0173655072999299</v>
      </c>
      <c r="E11" s="91"/>
      <c r="F11" s="93" t="s">
        <v>20</v>
      </c>
      <c r="G11" s="88">
        <v>4</v>
      </c>
      <c r="H11" s="88">
        <v>455</v>
      </c>
      <c r="I11" s="88">
        <v>24667</v>
      </c>
      <c r="J11" s="91"/>
      <c r="K11" s="95">
        <v>455</v>
      </c>
      <c r="L11" s="95">
        <v>24667</v>
      </c>
      <c r="M11" s="101">
        <f t="shared" si="0"/>
        <v>1.8445696679774599E-2</v>
      </c>
      <c r="N11" s="91"/>
      <c r="O11" s="93" t="s">
        <v>20</v>
      </c>
      <c r="P11" s="88">
        <v>586</v>
      </c>
      <c r="Q11" s="91"/>
      <c r="R11" s="91"/>
      <c r="S11" s="91"/>
      <c r="T11" s="91"/>
      <c r="U11" s="91"/>
      <c r="V11" s="91"/>
      <c r="W11" s="91"/>
    </row>
    <row r="12" spans="2:23" x14ac:dyDescent="0.25">
      <c r="B12" s="88" t="s">
        <v>264</v>
      </c>
      <c r="C12" s="88" t="s">
        <v>21</v>
      </c>
      <c r="D12" s="100">
        <v>0.95581753316075402</v>
      </c>
      <c r="E12" s="91"/>
      <c r="F12" s="93" t="s">
        <v>21</v>
      </c>
      <c r="G12" s="88">
        <v>6</v>
      </c>
      <c r="H12" s="88">
        <v>649</v>
      </c>
      <c r="I12" s="88">
        <v>14600</v>
      </c>
      <c r="J12" s="91"/>
      <c r="K12" s="95">
        <v>649</v>
      </c>
      <c r="L12" s="95">
        <v>14600</v>
      </c>
      <c r="M12" s="101">
        <f t="shared" si="0"/>
        <v>4.4452054794520551E-2</v>
      </c>
      <c r="N12" s="91"/>
      <c r="O12" s="93" t="s">
        <v>21</v>
      </c>
      <c r="P12" s="88">
        <v>585</v>
      </c>
      <c r="Q12" s="91"/>
      <c r="R12" s="91"/>
      <c r="S12" s="91"/>
      <c r="T12" s="91"/>
      <c r="U12" s="91"/>
      <c r="V12" s="91"/>
      <c r="W12" s="91"/>
    </row>
    <row r="13" spans="2:23" x14ac:dyDescent="0.25">
      <c r="B13" s="88" t="s">
        <v>264</v>
      </c>
      <c r="C13" s="88" t="s">
        <v>44</v>
      </c>
      <c r="D13" s="100">
        <v>0.98601935104760796</v>
      </c>
      <c r="E13" s="91"/>
      <c r="F13" s="93" t="s">
        <v>44</v>
      </c>
      <c r="G13" s="88">
        <v>1230</v>
      </c>
      <c r="H13" s="88">
        <v>59137</v>
      </c>
      <c r="I13" s="88">
        <v>321301</v>
      </c>
      <c r="J13" s="91"/>
      <c r="K13" s="95">
        <v>59137</v>
      </c>
      <c r="L13" s="95">
        <v>321301</v>
      </c>
      <c r="M13" s="101">
        <f t="shared" si="0"/>
        <v>0.18405482709359761</v>
      </c>
      <c r="N13" s="91"/>
      <c r="O13" s="93" t="s">
        <v>44</v>
      </c>
      <c r="P13" s="88">
        <v>7279</v>
      </c>
      <c r="Q13" s="91"/>
      <c r="R13" s="91"/>
      <c r="S13" s="91"/>
      <c r="T13" s="91"/>
      <c r="U13" s="91"/>
      <c r="V13" s="91"/>
      <c r="W13" s="91"/>
    </row>
    <row r="14" spans="2:23" x14ac:dyDescent="0.25">
      <c r="B14" s="88" t="s">
        <v>264</v>
      </c>
      <c r="C14" s="88" t="s">
        <v>45</v>
      </c>
      <c r="D14" s="100">
        <v>0.95378253064743601</v>
      </c>
      <c r="E14" s="91"/>
      <c r="F14" s="93" t="s">
        <v>45</v>
      </c>
      <c r="G14" s="88">
        <v>333</v>
      </c>
      <c r="H14" s="88">
        <v>24592</v>
      </c>
      <c r="I14" s="88">
        <v>193438</v>
      </c>
      <c r="J14" s="91"/>
      <c r="K14" s="95">
        <v>24592</v>
      </c>
      <c r="L14" s="95">
        <v>193438</v>
      </c>
      <c r="M14" s="101">
        <f t="shared" si="0"/>
        <v>0.1271311738127979</v>
      </c>
      <c r="N14" s="91"/>
      <c r="O14" s="93" t="s">
        <v>45</v>
      </c>
      <c r="P14" s="88">
        <v>3842</v>
      </c>
      <c r="Q14" s="91"/>
      <c r="R14" s="91"/>
      <c r="S14" s="91"/>
      <c r="T14" s="91"/>
      <c r="U14" s="91"/>
      <c r="V14" s="91"/>
      <c r="W14" s="91"/>
    </row>
    <row r="15" spans="2:23" x14ac:dyDescent="0.25">
      <c r="B15" s="88" t="s">
        <v>264</v>
      </c>
      <c r="C15" s="88" t="s">
        <v>22</v>
      </c>
      <c r="D15" s="100">
        <v>1.30657930585045</v>
      </c>
      <c r="E15" s="91"/>
      <c r="F15" s="93" t="s">
        <v>22</v>
      </c>
      <c r="G15" s="88">
        <v>0</v>
      </c>
      <c r="H15" s="88">
        <v>559</v>
      </c>
      <c r="I15" s="88">
        <v>13164</v>
      </c>
      <c r="J15" s="91"/>
      <c r="K15" s="95">
        <v>559</v>
      </c>
      <c r="L15" s="95">
        <v>13164</v>
      </c>
      <c r="M15" s="101">
        <f t="shared" si="0"/>
        <v>4.2464296566393195E-2</v>
      </c>
      <c r="N15" s="91"/>
      <c r="O15" s="93" t="s">
        <v>22</v>
      </c>
      <c r="P15" s="88">
        <v>26</v>
      </c>
      <c r="Q15" s="91"/>
      <c r="R15" s="91"/>
      <c r="S15" s="91"/>
      <c r="T15" s="91"/>
      <c r="U15" s="91"/>
      <c r="V15" s="91"/>
      <c r="W15" s="91"/>
    </row>
    <row r="16" spans="2:23" x14ac:dyDescent="0.25">
      <c r="B16" s="88" t="s">
        <v>264</v>
      </c>
      <c r="C16" s="88" t="s">
        <v>46</v>
      </c>
      <c r="D16" s="100">
        <v>1.0101617161716401</v>
      </c>
      <c r="E16" s="91"/>
      <c r="F16" s="93" t="s">
        <v>46</v>
      </c>
      <c r="G16" s="88">
        <v>49</v>
      </c>
      <c r="H16" s="88">
        <v>3287</v>
      </c>
      <c r="I16" s="88">
        <v>31630</v>
      </c>
      <c r="J16" s="91"/>
      <c r="K16" s="95">
        <v>3287</v>
      </c>
      <c r="L16" s="95">
        <v>31630</v>
      </c>
      <c r="M16" s="101">
        <f t="shared" si="0"/>
        <v>0.10392032880177048</v>
      </c>
      <c r="N16" s="91"/>
      <c r="O16" s="93" t="s">
        <v>46</v>
      </c>
      <c r="P16" s="88">
        <v>882</v>
      </c>
      <c r="Q16" s="91"/>
      <c r="R16" s="91"/>
      <c r="S16" s="91"/>
      <c r="T16" s="91"/>
      <c r="U16" s="91"/>
      <c r="V16" s="91"/>
      <c r="W16" s="91"/>
    </row>
    <row r="17" spans="2:23" x14ac:dyDescent="0.25">
      <c r="B17" s="88" t="s">
        <v>264</v>
      </c>
      <c r="C17" s="88" t="s">
        <v>47</v>
      </c>
      <c r="D17" s="88">
        <v>1.0282004985836599</v>
      </c>
      <c r="E17" s="91"/>
      <c r="F17" s="93" t="s">
        <v>47</v>
      </c>
      <c r="G17" s="88">
        <v>51</v>
      </c>
      <c r="H17" s="88">
        <v>3167</v>
      </c>
      <c r="I17" s="88">
        <v>17343</v>
      </c>
      <c r="J17" s="91"/>
      <c r="K17" s="95">
        <v>3167</v>
      </c>
      <c r="L17" s="95">
        <v>17343</v>
      </c>
      <c r="M17" s="101">
        <f t="shared" si="0"/>
        <v>0.1826096984374099</v>
      </c>
      <c r="N17" s="91"/>
      <c r="O17" s="93" t="s">
        <v>47</v>
      </c>
      <c r="P17" s="88">
        <v>197</v>
      </c>
      <c r="Q17" s="91"/>
      <c r="R17" s="91"/>
      <c r="S17" s="91"/>
      <c r="T17" s="91"/>
      <c r="U17" s="91"/>
      <c r="V17" s="91"/>
      <c r="W17" s="91"/>
    </row>
    <row r="18" spans="2:23" x14ac:dyDescent="0.25">
      <c r="B18" s="88" t="s">
        <v>264</v>
      </c>
      <c r="C18" s="88" t="s">
        <v>48</v>
      </c>
      <c r="D18" s="100">
        <v>1.0928764203221</v>
      </c>
      <c r="E18" s="91"/>
      <c r="F18" s="93" t="s">
        <v>48</v>
      </c>
      <c r="G18" s="88">
        <v>115</v>
      </c>
      <c r="H18" s="88">
        <v>10625</v>
      </c>
      <c r="I18" s="88">
        <v>264702</v>
      </c>
      <c r="J18" s="91"/>
      <c r="K18" s="95">
        <v>10625</v>
      </c>
      <c r="L18" s="95">
        <v>264702</v>
      </c>
      <c r="M18" s="101">
        <f t="shared" si="0"/>
        <v>4.013947760122704E-2</v>
      </c>
      <c r="N18" s="91"/>
      <c r="O18" s="93" t="s">
        <v>48</v>
      </c>
      <c r="P18" s="88">
        <v>7723</v>
      </c>
      <c r="Q18" s="91"/>
      <c r="R18" s="91"/>
      <c r="S18" s="91"/>
      <c r="T18" s="91"/>
      <c r="U18" s="91"/>
      <c r="V18" s="91"/>
      <c r="W18" s="91"/>
    </row>
    <row r="19" spans="2:23" x14ac:dyDescent="0.25">
      <c r="B19" s="88" t="s">
        <v>264</v>
      </c>
      <c r="C19" s="88" t="s">
        <v>49</v>
      </c>
      <c r="D19" s="88">
        <v>1.0015865310325001</v>
      </c>
      <c r="E19" s="91"/>
      <c r="F19" s="93" t="s">
        <v>49</v>
      </c>
      <c r="G19" s="88">
        <v>74</v>
      </c>
      <c r="H19" s="88">
        <v>5526</v>
      </c>
      <c r="I19" s="88">
        <v>67691</v>
      </c>
      <c r="J19" s="91"/>
      <c r="K19" s="95">
        <v>5526</v>
      </c>
      <c r="L19" s="95">
        <v>67691</v>
      </c>
      <c r="M19" s="101">
        <f t="shared" si="0"/>
        <v>8.1635667961767439E-2</v>
      </c>
      <c r="N19" s="91"/>
      <c r="O19" s="93" t="s">
        <v>49</v>
      </c>
      <c r="P19" s="88">
        <v>2980</v>
      </c>
      <c r="Q19" s="91"/>
      <c r="R19" s="91"/>
      <c r="S19" s="91"/>
      <c r="T19" s="91"/>
      <c r="U19" s="91"/>
      <c r="V19" s="91"/>
      <c r="W19" s="91"/>
    </row>
    <row r="20" spans="2:23" x14ac:dyDescent="0.25">
      <c r="B20" s="88" t="s">
        <v>264</v>
      </c>
      <c r="C20" s="88" t="s">
        <v>50</v>
      </c>
      <c r="D20" s="88">
        <v>1.0712011110205899</v>
      </c>
      <c r="E20" s="91"/>
      <c r="F20" s="93" t="s">
        <v>50</v>
      </c>
      <c r="G20" s="88">
        <v>30</v>
      </c>
      <c r="H20" s="88">
        <v>2704</v>
      </c>
      <c r="I20" s="88">
        <v>22903</v>
      </c>
      <c r="J20" s="91"/>
      <c r="K20" s="95">
        <v>2704</v>
      </c>
      <c r="L20" s="95">
        <v>22903</v>
      </c>
      <c r="M20" s="101">
        <f t="shared" si="0"/>
        <v>0.11806313583373357</v>
      </c>
      <c r="N20" s="91"/>
      <c r="O20" s="93" t="s">
        <v>50</v>
      </c>
      <c r="P20" s="88">
        <v>365</v>
      </c>
      <c r="Q20" s="91"/>
      <c r="R20" s="91"/>
      <c r="S20" s="91"/>
      <c r="T20" s="91"/>
      <c r="U20" s="91"/>
      <c r="V20" s="91"/>
      <c r="W20" s="91"/>
    </row>
    <row r="21" spans="2:23" x14ac:dyDescent="0.25">
      <c r="B21" s="88" t="s">
        <v>264</v>
      </c>
      <c r="C21" s="88" t="s">
        <v>23</v>
      </c>
      <c r="D21" s="88">
        <v>1.0430189305683999</v>
      </c>
      <c r="E21" s="91"/>
      <c r="F21" s="93" t="s">
        <v>23</v>
      </c>
      <c r="G21" s="88">
        <v>35</v>
      </c>
      <c r="H21" s="88">
        <v>3907</v>
      </c>
      <c r="I21" s="88">
        <v>52843</v>
      </c>
      <c r="J21" s="91"/>
      <c r="K21" s="95">
        <v>3907</v>
      </c>
      <c r="L21" s="95">
        <v>52843</v>
      </c>
      <c r="M21" s="101">
        <f t="shared" si="0"/>
        <v>7.3935999091648844E-2</v>
      </c>
      <c r="N21" s="91"/>
      <c r="O21" s="93" t="s">
        <v>23</v>
      </c>
      <c r="P21" s="88">
        <v>744</v>
      </c>
      <c r="Q21" s="91"/>
      <c r="R21" s="91"/>
      <c r="S21" s="91"/>
      <c r="T21" s="91"/>
      <c r="U21" s="91"/>
      <c r="V21" s="91"/>
      <c r="W21" s="91"/>
    </row>
    <row r="22" spans="2:23" x14ac:dyDescent="0.25">
      <c r="B22" s="88" t="s">
        <v>264</v>
      </c>
      <c r="C22" s="88" t="s">
        <v>51</v>
      </c>
      <c r="D22" s="88">
        <v>0.93895130875600197</v>
      </c>
      <c r="E22" s="91"/>
      <c r="F22" s="93" t="s">
        <v>51</v>
      </c>
      <c r="G22" s="88">
        <v>238</v>
      </c>
      <c r="H22" s="88">
        <v>10929</v>
      </c>
      <c r="I22" s="88">
        <v>133888</v>
      </c>
      <c r="J22" s="91"/>
      <c r="K22" s="95">
        <v>10929</v>
      </c>
      <c r="L22" s="95">
        <v>133888</v>
      </c>
      <c r="M22" s="101">
        <f t="shared" si="0"/>
        <v>8.162792782026769E-2</v>
      </c>
      <c r="N22" s="91"/>
      <c r="O22" s="93" t="s">
        <v>51</v>
      </c>
      <c r="P22" s="88">
        <v>4024</v>
      </c>
      <c r="Q22" s="91"/>
      <c r="R22" s="91"/>
      <c r="S22" s="91"/>
      <c r="T22" s="91"/>
      <c r="U22" s="91"/>
      <c r="V22" s="91"/>
      <c r="W22" s="91"/>
    </row>
    <row r="23" spans="2:23" x14ac:dyDescent="0.25">
      <c r="B23" s="88" t="s">
        <v>264</v>
      </c>
      <c r="C23" s="88" t="s">
        <v>24</v>
      </c>
      <c r="D23" s="88">
        <v>1.10804877749931</v>
      </c>
      <c r="E23" s="91"/>
      <c r="F23" s="93" t="s">
        <v>24</v>
      </c>
      <c r="G23" s="88">
        <v>112</v>
      </c>
      <c r="H23" s="88">
        <v>2731</v>
      </c>
      <c r="I23" s="88">
        <v>95695</v>
      </c>
      <c r="J23" s="91"/>
      <c r="K23" s="95">
        <v>2731</v>
      </c>
      <c r="L23" s="95">
        <v>95695</v>
      </c>
      <c r="M23" s="101">
        <f t="shared" si="0"/>
        <v>2.8538586133026803E-2</v>
      </c>
      <c r="N23" s="91"/>
      <c r="O23" s="93" t="s">
        <v>24</v>
      </c>
      <c r="P23" s="88">
        <v>8648</v>
      </c>
      <c r="Q23" s="91"/>
      <c r="R23" s="91"/>
      <c r="S23" s="91"/>
      <c r="T23" s="91"/>
      <c r="U23" s="91"/>
      <c r="V23" s="91"/>
      <c r="W23" s="91"/>
    </row>
    <row r="24" spans="2:23" x14ac:dyDescent="0.25">
      <c r="B24" s="88" t="s">
        <v>264</v>
      </c>
      <c r="C24" s="88" t="s">
        <v>25</v>
      </c>
      <c r="D24" s="88">
        <v>1.0476161877500401</v>
      </c>
      <c r="E24" s="91"/>
      <c r="F24" s="93" t="s">
        <v>25</v>
      </c>
      <c r="G24" s="88">
        <v>76</v>
      </c>
      <c r="H24" s="88">
        <v>6268</v>
      </c>
      <c r="I24" s="88">
        <v>105119</v>
      </c>
      <c r="J24" s="91"/>
      <c r="K24" s="95">
        <v>6268</v>
      </c>
      <c r="L24" s="95">
        <v>105119</v>
      </c>
      <c r="M24" s="101">
        <f t="shared" si="0"/>
        <v>5.9627660080480219E-2</v>
      </c>
      <c r="N24" s="91"/>
      <c r="O24" s="93" t="s">
        <v>25</v>
      </c>
      <c r="P24" s="88">
        <v>3523</v>
      </c>
      <c r="Q24" s="91"/>
      <c r="R24" s="91"/>
      <c r="S24" s="91"/>
      <c r="T24" s="91"/>
      <c r="U24" s="91"/>
      <c r="V24" s="91"/>
      <c r="W24" s="91"/>
    </row>
    <row r="25" spans="2:23" x14ac:dyDescent="0.25">
      <c r="B25" s="88" t="s">
        <v>264</v>
      </c>
      <c r="C25" s="88" t="s">
        <v>52</v>
      </c>
      <c r="D25" s="88">
        <v>0.97583241775441298</v>
      </c>
      <c r="E25" s="91"/>
      <c r="F25" s="93" t="s">
        <v>52</v>
      </c>
      <c r="G25" s="88">
        <v>5</v>
      </c>
      <c r="H25" s="88">
        <v>138</v>
      </c>
      <c r="I25" s="88">
        <v>16704</v>
      </c>
      <c r="J25" s="91"/>
      <c r="K25" s="95">
        <v>138</v>
      </c>
      <c r="L25" s="95">
        <v>16704</v>
      </c>
      <c r="M25" s="101">
        <f t="shared" si="0"/>
        <v>8.2614942528735635E-3</v>
      </c>
      <c r="N25" s="91"/>
      <c r="O25" s="93" t="s">
        <v>52</v>
      </c>
      <c r="P25" s="88">
        <v>124</v>
      </c>
      <c r="Q25" s="91"/>
      <c r="R25" s="91"/>
      <c r="S25" s="91"/>
      <c r="T25" s="91"/>
      <c r="U25" s="91"/>
      <c r="V25" s="91"/>
      <c r="W25" s="91"/>
    </row>
    <row r="26" spans="2:23" x14ac:dyDescent="0.25">
      <c r="B26" s="88" t="s">
        <v>264</v>
      </c>
      <c r="C26" s="88" t="s">
        <v>26</v>
      </c>
      <c r="D26" s="88">
        <v>0.97580521858654101</v>
      </c>
      <c r="E26" s="91"/>
      <c r="F26" s="93" t="s">
        <v>26</v>
      </c>
      <c r="G26" s="88">
        <v>58</v>
      </c>
      <c r="H26" s="88">
        <v>5201</v>
      </c>
      <c r="I26" s="88">
        <v>226334</v>
      </c>
      <c r="J26" s="91"/>
      <c r="K26" s="95">
        <v>5201</v>
      </c>
      <c r="L26" s="95">
        <v>226334</v>
      </c>
      <c r="M26" s="101">
        <f t="shared" si="0"/>
        <v>2.2979313757544161E-2</v>
      </c>
      <c r="N26" s="91"/>
      <c r="O26" s="93" t="s">
        <v>26</v>
      </c>
      <c r="P26" s="88">
        <v>6463</v>
      </c>
      <c r="Q26" s="91"/>
      <c r="R26" s="91"/>
      <c r="S26" s="91"/>
      <c r="T26" s="91"/>
      <c r="U26" s="91"/>
      <c r="V26" s="91"/>
      <c r="W26" s="91"/>
    </row>
    <row r="27" spans="2:23" x14ac:dyDescent="0.25">
      <c r="B27" s="88" t="s">
        <v>264</v>
      </c>
      <c r="C27" s="88" t="s">
        <v>63</v>
      </c>
      <c r="D27" s="88">
        <v>1.07437579663226</v>
      </c>
      <c r="E27" s="91"/>
      <c r="F27" s="93" t="s">
        <v>63</v>
      </c>
      <c r="G27" s="88">
        <v>40</v>
      </c>
      <c r="H27" s="88">
        <v>4757</v>
      </c>
      <c r="I27" s="88">
        <v>-98722</v>
      </c>
      <c r="J27" s="91"/>
      <c r="K27" s="95">
        <v>4757</v>
      </c>
      <c r="L27" s="95">
        <v>-98722</v>
      </c>
      <c r="M27" s="101">
        <f t="shared" si="0"/>
        <v>-4.818581471201961E-2</v>
      </c>
      <c r="N27" s="91"/>
      <c r="O27" s="93" t="s">
        <v>63</v>
      </c>
      <c r="P27" s="88">
        <v>1656</v>
      </c>
      <c r="Q27" s="91"/>
      <c r="R27" s="91"/>
      <c r="S27" s="91"/>
      <c r="T27" s="91"/>
      <c r="U27" s="91"/>
      <c r="V27" s="91"/>
      <c r="W27" s="91"/>
    </row>
    <row r="28" spans="2:23" x14ac:dyDescent="0.25">
      <c r="B28" s="88" t="s">
        <v>264</v>
      </c>
      <c r="C28" s="88" t="s">
        <v>53</v>
      </c>
      <c r="D28" s="88">
        <v>1.22029376627693</v>
      </c>
      <c r="E28" s="91"/>
      <c r="F28" s="93" t="s">
        <v>53</v>
      </c>
      <c r="G28" s="88">
        <v>54</v>
      </c>
      <c r="H28" s="88">
        <v>9837</v>
      </c>
      <c r="I28" s="88">
        <v>71044</v>
      </c>
      <c r="J28" s="91"/>
      <c r="K28" s="95">
        <v>9837</v>
      </c>
      <c r="L28" s="95">
        <v>71044</v>
      </c>
      <c r="M28" s="101">
        <f t="shared" si="0"/>
        <v>0.13846348741624909</v>
      </c>
      <c r="N28" s="91"/>
      <c r="O28" s="93" t="s">
        <v>53</v>
      </c>
      <c r="P28" s="88">
        <v>1255</v>
      </c>
      <c r="Q28" s="91"/>
      <c r="R28" s="91"/>
      <c r="S28" s="91"/>
      <c r="T28" s="91"/>
      <c r="U28" s="91"/>
      <c r="V28" s="91"/>
      <c r="W28" s="91"/>
    </row>
    <row r="29" spans="2:23" x14ac:dyDescent="0.25">
      <c r="B29" s="88" t="s">
        <v>264</v>
      </c>
      <c r="C29" s="88" t="s">
        <v>54</v>
      </c>
      <c r="D29" s="88">
        <v>1.0617241140886899</v>
      </c>
      <c r="E29" s="91"/>
      <c r="F29" s="93" t="s">
        <v>54</v>
      </c>
      <c r="G29" s="88">
        <v>210</v>
      </c>
      <c r="H29" s="88">
        <v>8168</v>
      </c>
      <c r="I29" s="88">
        <v>35120</v>
      </c>
      <c r="J29" s="91"/>
      <c r="K29" s="95">
        <v>8168</v>
      </c>
      <c r="L29" s="95">
        <v>35120</v>
      </c>
      <c r="M29" s="101">
        <f t="shared" si="0"/>
        <v>0.23257403189066059</v>
      </c>
      <c r="N29" s="91"/>
      <c r="O29" s="93" t="s">
        <v>54</v>
      </c>
      <c r="P29" s="88">
        <v>1711</v>
      </c>
      <c r="Q29" s="91"/>
      <c r="R29" s="91"/>
      <c r="S29" s="91"/>
      <c r="T29" s="91"/>
      <c r="U29" s="91"/>
      <c r="V29" s="91"/>
      <c r="W29" s="91"/>
    </row>
    <row r="30" spans="2:23" x14ac:dyDescent="0.25">
      <c r="B30" s="88" t="s">
        <v>264</v>
      </c>
      <c r="C30" s="88" t="s">
        <v>64</v>
      </c>
      <c r="D30" s="88">
        <v>1.13373394941206</v>
      </c>
      <c r="E30" s="91"/>
      <c r="F30" s="93" t="s">
        <v>64</v>
      </c>
      <c r="G30" s="88">
        <v>17</v>
      </c>
      <c r="H30" s="88">
        <v>852</v>
      </c>
      <c r="I30" s="88">
        <v>20853</v>
      </c>
      <c r="J30" s="91"/>
      <c r="K30" s="95">
        <v>852</v>
      </c>
      <c r="L30" s="95">
        <v>20853</v>
      </c>
      <c r="M30" s="101">
        <f t="shared" si="0"/>
        <v>4.0857430585527266E-2</v>
      </c>
      <c r="N30" s="91"/>
      <c r="O30" s="93" t="s">
        <v>64</v>
      </c>
      <c r="P30" s="88">
        <v>64</v>
      </c>
      <c r="Q30" s="91"/>
      <c r="R30" s="91"/>
      <c r="S30" s="91"/>
      <c r="T30" s="91"/>
      <c r="U30" s="91"/>
      <c r="V30" s="91"/>
      <c r="W30" s="91"/>
    </row>
    <row r="31" spans="2:23" x14ac:dyDescent="0.25">
      <c r="B31" s="88" t="s">
        <v>264</v>
      </c>
      <c r="C31" s="88" t="s">
        <v>27</v>
      </c>
      <c r="D31" s="88">
        <v>0.95267220510524298</v>
      </c>
      <c r="E31" s="91"/>
      <c r="F31" s="93" t="s">
        <v>27</v>
      </c>
      <c r="G31" s="88">
        <v>192</v>
      </c>
      <c r="H31" s="88">
        <v>12194</v>
      </c>
      <c r="I31" s="88">
        <v>201934</v>
      </c>
      <c r="J31" s="91"/>
      <c r="K31" s="95">
        <v>12194</v>
      </c>
      <c r="L31" s="95">
        <v>201934</v>
      </c>
      <c r="M31" s="101">
        <f t="shared" si="0"/>
        <v>6.0386066734675684E-2</v>
      </c>
      <c r="N31" s="91"/>
      <c r="O31" s="93" t="s">
        <v>27</v>
      </c>
      <c r="P31" s="88">
        <v>1982</v>
      </c>
      <c r="Q31" s="91"/>
      <c r="R31" s="91"/>
      <c r="S31" s="91"/>
      <c r="T31" s="91"/>
      <c r="U31" s="91"/>
      <c r="V31" s="91"/>
      <c r="W31" s="91"/>
    </row>
    <row r="32" spans="2:23" x14ac:dyDescent="0.25">
      <c r="B32" s="88" t="s">
        <v>264</v>
      </c>
      <c r="C32" s="88" t="s">
        <v>65</v>
      </c>
      <c r="D32" s="100">
        <v>1.1086785098043099</v>
      </c>
      <c r="E32" s="91"/>
      <c r="F32" s="93" t="s">
        <v>65</v>
      </c>
      <c r="G32" s="88">
        <v>4</v>
      </c>
      <c r="H32" s="88">
        <v>799</v>
      </c>
      <c r="I32" s="88">
        <v>10385</v>
      </c>
      <c r="J32" s="91"/>
      <c r="K32" s="95">
        <v>799</v>
      </c>
      <c r="L32" s="95">
        <v>10385</v>
      </c>
      <c r="M32" s="101">
        <f t="shared" si="0"/>
        <v>7.6937891189215207E-2</v>
      </c>
      <c r="N32" s="91"/>
      <c r="O32" s="93" t="s">
        <v>65</v>
      </c>
      <c r="P32" s="88">
        <v>95</v>
      </c>
      <c r="Q32" s="91"/>
      <c r="R32" s="91"/>
      <c r="S32" s="91"/>
      <c r="T32" s="91"/>
      <c r="U32" s="91"/>
      <c r="V32" s="91"/>
      <c r="W32" s="91"/>
    </row>
    <row r="33" spans="2:23" x14ac:dyDescent="0.25">
      <c r="B33" s="88" t="s">
        <v>264</v>
      </c>
      <c r="C33" s="88" t="s">
        <v>55</v>
      </c>
      <c r="D33" s="100">
        <v>1.1420586299179001</v>
      </c>
      <c r="E33" s="91"/>
      <c r="F33" s="93" t="s">
        <v>55</v>
      </c>
      <c r="G33" s="88">
        <v>16</v>
      </c>
      <c r="H33" s="88">
        <v>2084</v>
      </c>
      <c r="I33" s="88">
        <v>22279</v>
      </c>
      <c r="J33" s="91"/>
      <c r="K33" s="95">
        <v>2084</v>
      </c>
      <c r="L33" s="95">
        <v>22279</v>
      </c>
      <c r="M33" s="101">
        <f t="shared" si="0"/>
        <v>9.3541002738004406E-2</v>
      </c>
      <c r="N33" s="91"/>
      <c r="O33" s="93" t="s">
        <v>55</v>
      </c>
      <c r="P33" s="88">
        <v>332</v>
      </c>
      <c r="Q33" s="91"/>
      <c r="R33" s="91"/>
      <c r="S33" s="91"/>
      <c r="T33" s="91"/>
      <c r="U33" s="91"/>
      <c r="V33" s="91"/>
      <c r="W33" s="91"/>
    </row>
    <row r="34" spans="2:23" x14ac:dyDescent="0.25">
      <c r="B34" s="88" t="s">
        <v>264</v>
      </c>
      <c r="C34" s="88" t="s">
        <v>28</v>
      </c>
      <c r="D34" s="88">
        <v>1.06553498295537</v>
      </c>
      <c r="E34" s="91"/>
      <c r="F34" s="93" t="s">
        <v>28</v>
      </c>
      <c r="G34" s="88">
        <v>8</v>
      </c>
      <c r="H34" s="88">
        <v>198</v>
      </c>
      <c r="I34" s="88">
        <v>9013</v>
      </c>
      <c r="J34" s="91"/>
      <c r="K34" s="95">
        <v>198</v>
      </c>
      <c r="L34" s="95">
        <v>9013</v>
      </c>
      <c r="M34" s="101">
        <f t="shared" si="0"/>
        <v>2.1968268057250637E-2</v>
      </c>
      <c r="N34" s="91"/>
      <c r="O34" s="93" t="s">
        <v>28</v>
      </c>
      <c r="P34" s="88">
        <v>417</v>
      </c>
      <c r="Q34" s="91"/>
      <c r="R34" s="91"/>
      <c r="S34" s="91"/>
      <c r="T34" s="91"/>
      <c r="U34" s="91"/>
      <c r="V34" s="91"/>
      <c r="W34" s="91"/>
    </row>
    <row r="35" spans="2:23" x14ac:dyDescent="0.25">
      <c r="B35" s="88" t="s">
        <v>264</v>
      </c>
      <c r="C35" s="88" t="s">
        <v>29</v>
      </c>
      <c r="D35" s="88">
        <v>0.965851159296373</v>
      </c>
      <c r="E35" s="91"/>
      <c r="F35" s="93" t="s">
        <v>29</v>
      </c>
      <c r="G35" s="88">
        <v>42</v>
      </c>
      <c r="H35" s="88">
        <v>2802</v>
      </c>
      <c r="I35" s="88">
        <v>180739</v>
      </c>
      <c r="J35" s="91"/>
      <c r="K35" s="95">
        <v>2802</v>
      </c>
      <c r="L35" s="95">
        <v>180739</v>
      </c>
      <c r="M35" s="101">
        <f t="shared" si="0"/>
        <v>1.5503018164314288E-2</v>
      </c>
      <c r="N35" s="91"/>
      <c r="O35" s="93" t="s">
        <v>29</v>
      </c>
      <c r="P35" s="88">
        <v>15846</v>
      </c>
      <c r="Q35" s="91"/>
      <c r="R35" s="91"/>
      <c r="S35" s="91"/>
      <c r="T35" s="91"/>
      <c r="U35" s="91"/>
      <c r="V35" s="91"/>
      <c r="W35" s="91"/>
    </row>
    <row r="36" spans="2:23" x14ac:dyDescent="0.25">
      <c r="B36" s="88" t="s">
        <v>264</v>
      </c>
      <c r="C36" s="88" t="s">
        <v>30</v>
      </c>
      <c r="D36" s="88">
        <v>0.94515445564084599</v>
      </c>
      <c r="E36" s="91"/>
      <c r="F36" s="93" t="s">
        <v>30</v>
      </c>
      <c r="G36" s="88">
        <v>40</v>
      </c>
      <c r="H36" s="88">
        <v>1974</v>
      </c>
      <c r="I36" s="88">
        <v>53535</v>
      </c>
      <c r="J36" s="91"/>
      <c r="K36" s="95">
        <v>1974</v>
      </c>
      <c r="L36" s="95">
        <v>53535</v>
      </c>
      <c r="M36" s="101">
        <f t="shared" si="0"/>
        <v>3.6873073690109275E-2</v>
      </c>
      <c r="N36" s="91"/>
      <c r="O36" s="93" t="s">
        <v>30</v>
      </c>
      <c r="P36" s="88">
        <v>654</v>
      </c>
      <c r="Q36" s="91"/>
      <c r="R36" s="91"/>
      <c r="S36" s="91"/>
      <c r="T36" s="91"/>
      <c r="U36" s="91"/>
      <c r="V36" s="91"/>
      <c r="W36" s="91"/>
    </row>
    <row r="37" spans="2:23" x14ac:dyDescent="0.25">
      <c r="B37" s="88" t="s">
        <v>264</v>
      </c>
      <c r="C37" s="88" t="s">
        <v>31</v>
      </c>
      <c r="D37" s="88">
        <v>0.99891588594219505</v>
      </c>
      <c r="E37" s="91"/>
      <c r="F37" s="93" t="s">
        <v>31</v>
      </c>
      <c r="G37" s="88">
        <v>108</v>
      </c>
      <c r="H37" s="88">
        <v>7368</v>
      </c>
      <c r="I37" s="88">
        <v>40187</v>
      </c>
      <c r="J37" s="91"/>
      <c r="K37" s="95">
        <v>7368</v>
      </c>
      <c r="L37" s="95">
        <v>40187</v>
      </c>
      <c r="M37" s="101">
        <f t="shared" si="0"/>
        <v>0.18334287207305844</v>
      </c>
      <c r="N37" s="91"/>
      <c r="O37" s="93" t="s">
        <v>31</v>
      </c>
      <c r="P37" s="88">
        <v>847</v>
      </c>
      <c r="Q37" s="91"/>
      <c r="R37" s="91"/>
      <c r="S37" s="91"/>
      <c r="T37" s="91"/>
      <c r="U37" s="91"/>
      <c r="V37" s="91"/>
      <c r="W37" s="91"/>
    </row>
    <row r="38" spans="2:23" x14ac:dyDescent="0.25">
      <c r="B38" s="88" t="s">
        <v>264</v>
      </c>
      <c r="C38" s="88" t="s">
        <v>32</v>
      </c>
      <c r="D38" s="88">
        <v>0.94174576606069504</v>
      </c>
      <c r="E38" s="91"/>
      <c r="F38" s="93" t="s">
        <v>32</v>
      </c>
      <c r="G38" s="88">
        <v>55</v>
      </c>
      <c r="H38" s="88">
        <v>4499</v>
      </c>
      <c r="I38" s="88">
        <v>455625</v>
      </c>
      <c r="J38" s="91"/>
      <c r="K38" s="95">
        <v>4499</v>
      </c>
      <c r="L38" s="95">
        <v>455625</v>
      </c>
      <c r="M38" s="101">
        <f t="shared" si="0"/>
        <v>9.8743484224965705E-3</v>
      </c>
      <c r="N38" s="91"/>
      <c r="O38" s="93" t="s">
        <v>32</v>
      </c>
      <c r="P38" s="88">
        <v>25172</v>
      </c>
      <c r="Q38" s="91"/>
      <c r="R38" s="91"/>
      <c r="S38" s="91"/>
      <c r="T38" s="91"/>
      <c r="U38" s="91"/>
      <c r="V38" s="91"/>
      <c r="W38" s="91"/>
    </row>
    <row r="39" spans="2:23" x14ac:dyDescent="0.25">
      <c r="B39" s="88" t="s">
        <v>264</v>
      </c>
      <c r="C39" s="88" t="s">
        <v>56</v>
      </c>
      <c r="D39" s="88">
        <v>0.918456294509577</v>
      </c>
      <c r="E39" s="91"/>
      <c r="F39" s="93" t="s">
        <v>56</v>
      </c>
      <c r="G39" s="88">
        <v>195</v>
      </c>
      <c r="H39" s="88">
        <v>8786</v>
      </c>
      <c r="I39" s="88">
        <v>191445</v>
      </c>
      <c r="J39" s="91"/>
      <c r="K39" s="95">
        <v>8786</v>
      </c>
      <c r="L39" s="95">
        <v>191445</v>
      </c>
      <c r="M39" s="101">
        <f t="shared" si="0"/>
        <v>4.5893076340463315E-2</v>
      </c>
      <c r="N39" s="91"/>
      <c r="O39" s="93" t="s">
        <v>56</v>
      </c>
      <c r="P39" s="88">
        <v>3539</v>
      </c>
      <c r="Q39" s="91"/>
      <c r="R39" s="91"/>
      <c r="S39" s="91"/>
      <c r="T39" s="91"/>
      <c r="U39" s="91"/>
      <c r="V39" s="91"/>
      <c r="W39" s="91"/>
    </row>
    <row r="40" spans="2:23" x14ac:dyDescent="0.25">
      <c r="B40" s="88" t="s">
        <v>264</v>
      </c>
      <c r="C40" s="88" t="s">
        <v>57</v>
      </c>
      <c r="D40" s="88">
        <v>1.04341098112201</v>
      </c>
      <c r="E40" s="91"/>
      <c r="F40" s="93" t="s">
        <v>57</v>
      </c>
      <c r="G40" s="88">
        <v>55</v>
      </c>
      <c r="H40" s="88">
        <v>5916</v>
      </c>
      <c r="I40" s="88">
        <v>69749</v>
      </c>
      <c r="J40" s="91"/>
      <c r="K40" s="95">
        <v>5916</v>
      </c>
      <c r="L40" s="95">
        <v>69749</v>
      </c>
      <c r="M40" s="101">
        <f t="shared" si="0"/>
        <v>8.4818420335775427E-2</v>
      </c>
      <c r="N40" s="91"/>
      <c r="O40" s="93" t="s">
        <v>57</v>
      </c>
      <c r="P40" s="88">
        <v>551</v>
      </c>
      <c r="Q40" s="91"/>
      <c r="R40" s="91"/>
      <c r="S40" s="91"/>
      <c r="T40" s="91"/>
      <c r="U40" s="91"/>
      <c r="V40" s="91"/>
      <c r="W40" s="91"/>
    </row>
    <row r="41" spans="2:23" x14ac:dyDescent="0.25">
      <c r="B41" s="88" t="s">
        <v>264</v>
      </c>
      <c r="C41" s="88" t="s">
        <v>33</v>
      </c>
      <c r="D41" s="88">
        <v>1.0121498105422</v>
      </c>
      <c r="E41" s="91"/>
      <c r="F41" s="93" t="s">
        <v>33</v>
      </c>
      <c r="G41" s="88">
        <v>39</v>
      </c>
      <c r="H41" s="88">
        <v>2278</v>
      </c>
      <c r="I41" s="88">
        <v>34565</v>
      </c>
      <c r="J41" s="91"/>
      <c r="K41" s="95">
        <v>2278</v>
      </c>
      <c r="L41" s="95">
        <v>34565</v>
      </c>
      <c r="M41" s="101">
        <f t="shared" si="0"/>
        <v>6.5904817011427738E-2</v>
      </c>
      <c r="N41" s="91"/>
      <c r="O41" s="93" t="s">
        <v>33</v>
      </c>
      <c r="P41" s="88">
        <v>328</v>
      </c>
      <c r="Q41" s="91"/>
      <c r="R41" s="91"/>
      <c r="S41" s="91"/>
      <c r="T41" s="91"/>
      <c r="U41" s="91"/>
      <c r="V41" s="91"/>
      <c r="W41" s="91"/>
    </row>
    <row r="42" spans="2:23" x14ac:dyDescent="0.25">
      <c r="B42" s="88" t="s">
        <v>264</v>
      </c>
      <c r="C42" s="88" t="s">
        <v>34</v>
      </c>
      <c r="D42" s="100">
        <v>1.00995310027075</v>
      </c>
      <c r="E42" s="91"/>
      <c r="F42" s="93" t="s">
        <v>34</v>
      </c>
      <c r="G42" s="88">
        <v>87</v>
      </c>
      <c r="H42" s="88">
        <v>5891</v>
      </c>
      <c r="I42" s="88">
        <v>105881</v>
      </c>
      <c r="J42" s="91"/>
      <c r="K42" s="95">
        <v>5891</v>
      </c>
      <c r="L42" s="95">
        <v>105881</v>
      </c>
      <c r="M42" s="101">
        <f t="shared" si="0"/>
        <v>5.5637933151368044E-2</v>
      </c>
      <c r="N42" s="91"/>
      <c r="O42" s="93" t="s">
        <v>34</v>
      </c>
      <c r="P42" s="88">
        <v>7209</v>
      </c>
      <c r="Q42" s="91"/>
      <c r="R42" s="91"/>
      <c r="S42" s="91"/>
      <c r="T42" s="91"/>
      <c r="U42" s="91"/>
      <c r="V42" s="91"/>
      <c r="W42" s="91"/>
    </row>
    <row r="43" spans="2:23" x14ac:dyDescent="0.25">
      <c r="B43" s="88" t="s">
        <v>264</v>
      </c>
      <c r="C43" s="88" t="s">
        <v>35</v>
      </c>
      <c r="D43" s="88">
        <v>1.1377210350654401</v>
      </c>
      <c r="E43" s="91"/>
      <c r="F43" s="93" t="s">
        <v>35</v>
      </c>
      <c r="G43" s="88">
        <v>6</v>
      </c>
      <c r="H43" s="88">
        <v>731</v>
      </c>
      <c r="I43" s="88">
        <v>13448</v>
      </c>
      <c r="J43" s="91"/>
      <c r="K43" s="95">
        <v>731</v>
      </c>
      <c r="L43" s="95">
        <v>13448</v>
      </c>
      <c r="M43" s="101">
        <f t="shared" si="0"/>
        <v>5.4357525282569902E-2</v>
      </c>
      <c r="N43" s="91"/>
      <c r="O43" s="93" t="s">
        <v>35</v>
      </c>
      <c r="P43" s="88">
        <v>1010</v>
      </c>
      <c r="Q43" s="91"/>
      <c r="R43" s="91"/>
      <c r="S43" s="91"/>
      <c r="T43" s="91"/>
      <c r="U43" s="91"/>
      <c r="V43" s="91"/>
      <c r="W43" s="91"/>
    </row>
    <row r="44" spans="2:23" x14ac:dyDescent="0.25">
      <c r="B44" s="88" t="s">
        <v>264</v>
      </c>
      <c r="C44" s="88" t="s">
        <v>58</v>
      </c>
      <c r="D44" s="88">
        <v>0.91079433458500902</v>
      </c>
      <c r="E44" s="91"/>
      <c r="F44" s="93" t="s">
        <v>58</v>
      </c>
      <c r="G44" s="88">
        <v>287</v>
      </c>
      <c r="H44" s="88">
        <v>10534</v>
      </c>
      <c r="I44" s="88">
        <v>72774</v>
      </c>
      <c r="J44" s="91"/>
      <c r="K44" s="95">
        <v>10534</v>
      </c>
      <c r="L44" s="95">
        <v>72774</v>
      </c>
      <c r="M44" s="101">
        <f t="shared" si="0"/>
        <v>0.14474949844724763</v>
      </c>
      <c r="N44" s="91"/>
      <c r="O44" s="93" t="s">
        <v>58</v>
      </c>
      <c r="P44" s="88">
        <v>1793</v>
      </c>
      <c r="Q44" s="91"/>
      <c r="R44" s="91"/>
      <c r="S44" s="91"/>
      <c r="T44" s="91"/>
      <c r="U44" s="91"/>
      <c r="V44" s="91"/>
      <c r="W44" s="91"/>
    </row>
    <row r="45" spans="2:23" x14ac:dyDescent="0.25">
      <c r="B45" s="88" t="s">
        <v>264</v>
      </c>
      <c r="C45" s="88" t="s">
        <v>66</v>
      </c>
      <c r="D45" s="88">
        <v>1.08946695354399</v>
      </c>
      <c r="E45" s="91"/>
      <c r="F45" s="93" t="s">
        <v>66</v>
      </c>
      <c r="G45" s="88">
        <v>12</v>
      </c>
      <c r="H45" s="88">
        <v>576</v>
      </c>
      <c r="I45" s="88">
        <v>7821</v>
      </c>
      <c r="J45" s="91"/>
      <c r="K45" s="95">
        <v>576</v>
      </c>
      <c r="L45" s="95">
        <v>7821</v>
      </c>
      <c r="M45" s="101">
        <f t="shared" si="0"/>
        <v>7.3647871116225547E-2</v>
      </c>
      <c r="N45" s="91"/>
      <c r="O45" s="93" t="s">
        <v>66</v>
      </c>
      <c r="P45" s="88">
        <v>135</v>
      </c>
      <c r="Q45" s="91"/>
      <c r="R45" s="91"/>
      <c r="S45" s="91"/>
      <c r="T45" s="91"/>
      <c r="U45" s="91"/>
      <c r="V45" s="91"/>
      <c r="W45" s="91"/>
    </row>
    <row r="46" spans="2:23" x14ac:dyDescent="0.25">
      <c r="B46" s="88" t="s">
        <v>264</v>
      </c>
      <c r="C46" s="88" t="s">
        <v>140</v>
      </c>
      <c r="D46" s="88">
        <v>0.98014028144167498</v>
      </c>
      <c r="E46" s="91"/>
      <c r="F46" s="93" t="s">
        <v>140</v>
      </c>
      <c r="G46" s="88">
        <v>114</v>
      </c>
      <c r="H46" s="88">
        <v>14147</v>
      </c>
      <c r="I46" s="88">
        <v>163081</v>
      </c>
      <c r="J46" s="91"/>
      <c r="K46" s="95">
        <v>14147</v>
      </c>
      <c r="L46" s="95">
        <v>163081</v>
      </c>
      <c r="M46" s="101">
        <f t="shared" si="0"/>
        <v>8.6748302990538442E-2</v>
      </c>
      <c r="N46" s="91"/>
      <c r="O46" s="93" t="s">
        <v>140</v>
      </c>
      <c r="P46" s="88">
        <v>1092</v>
      </c>
      <c r="Q46" s="91"/>
      <c r="R46" s="91"/>
      <c r="S46" s="91"/>
      <c r="T46" s="91"/>
      <c r="U46" s="91"/>
      <c r="V46" s="91"/>
      <c r="W46" s="91"/>
    </row>
    <row r="47" spans="2:23" x14ac:dyDescent="0.25">
      <c r="B47" s="88" t="s">
        <v>264</v>
      </c>
      <c r="C47" s="88" t="s">
        <v>59</v>
      </c>
      <c r="D47" s="88">
        <v>0.93338032441165097</v>
      </c>
      <c r="E47" s="91"/>
      <c r="F47" s="93" t="s">
        <v>59</v>
      </c>
      <c r="G47" s="88">
        <v>1303</v>
      </c>
      <c r="H47" s="88">
        <v>56091</v>
      </c>
      <c r="I47" s="88">
        <v>405704</v>
      </c>
      <c r="J47" s="91"/>
      <c r="K47" s="95">
        <v>56091</v>
      </c>
      <c r="L47" s="95">
        <v>405704</v>
      </c>
      <c r="M47" s="101">
        <f t="shared" si="0"/>
        <v>0.13825596986965866</v>
      </c>
      <c r="N47" s="91"/>
      <c r="O47" s="93" t="s">
        <v>59</v>
      </c>
      <c r="P47" s="88">
        <v>7016</v>
      </c>
      <c r="Q47" s="91"/>
      <c r="R47" s="91"/>
      <c r="S47" s="91"/>
      <c r="T47" s="91"/>
      <c r="U47" s="91"/>
      <c r="V47" s="91"/>
      <c r="W47" s="91"/>
    </row>
    <row r="48" spans="2:23" x14ac:dyDescent="0.25">
      <c r="B48" s="88" t="s">
        <v>264</v>
      </c>
      <c r="C48" s="88" t="s">
        <v>67</v>
      </c>
      <c r="D48" s="100">
        <v>1.0317502003432399</v>
      </c>
      <c r="E48" s="91"/>
      <c r="F48" s="93" t="s">
        <v>67</v>
      </c>
      <c r="G48" s="88">
        <v>33</v>
      </c>
      <c r="H48" s="88">
        <v>3120</v>
      </c>
      <c r="I48" s="88">
        <v>30324</v>
      </c>
      <c r="J48" s="91"/>
      <c r="K48" s="95">
        <v>3120</v>
      </c>
      <c r="L48" s="95">
        <v>30324</v>
      </c>
      <c r="M48" s="101">
        <f t="shared" si="0"/>
        <v>0.10288880094974277</v>
      </c>
      <c r="N48" s="91"/>
      <c r="O48" s="93" t="s">
        <v>67</v>
      </c>
      <c r="P48" s="88">
        <v>314</v>
      </c>
      <c r="Q48" s="91"/>
      <c r="R48" s="91"/>
      <c r="S48" s="91"/>
      <c r="T48" s="91"/>
      <c r="U48" s="91"/>
      <c r="V48" s="91"/>
      <c r="W48" s="91"/>
    </row>
    <row r="49" spans="2:23" x14ac:dyDescent="0.25">
      <c r="B49" s="88" t="s">
        <v>264</v>
      </c>
      <c r="C49" s="88" t="s">
        <v>36</v>
      </c>
      <c r="D49" s="88">
        <v>1.02329064255659</v>
      </c>
      <c r="E49" s="91"/>
      <c r="F49" s="93" t="s">
        <v>36</v>
      </c>
      <c r="G49" s="88">
        <v>136</v>
      </c>
      <c r="H49" s="88">
        <v>7034</v>
      </c>
      <c r="I49" s="88">
        <v>115897</v>
      </c>
      <c r="J49" s="91"/>
      <c r="K49" s="95">
        <v>7034</v>
      </c>
      <c r="L49" s="95">
        <v>115897</v>
      </c>
      <c r="M49" s="101">
        <f t="shared" si="0"/>
        <v>6.0691821186053131E-2</v>
      </c>
      <c r="N49" s="91"/>
      <c r="O49" s="93" t="s">
        <v>36</v>
      </c>
      <c r="P49" s="88">
        <v>2218</v>
      </c>
      <c r="Q49" s="91"/>
      <c r="R49" s="91"/>
      <c r="S49" s="91"/>
      <c r="T49" s="91"/>
      <c r="U49" s="91"/>
      <c r="V49" s="91"/>
      <c r="W49" s="91"/>
    </row>
    <row r="50" spans="2:23" x14ac:dyDescent="0.25">
      <c r="B50" s="88" t="s">
        <v>264</v>
      </c>
      <c r="C50" s="88" t="s">
        <v>37</v>
      </c>
      <c r="D50" s="88">
        <v>0.87661165300564503</v>
      </c>
      <c r="E50" s="91"/>
      <c r="F50" s="93" t="s">
        <v>37</v>
      </c>
      <c r="G50" s="88">
        <v>1</v>
      </c>
      <c r="H50" s="88">
        <v>25</v>
      </c>
      <c r="I50" s="88">
        <v>6621</v>
      </c>
      <c r="J50" s="91"/>
      <c r="K50" s="95">
        <v>25</v>
      </c>
      <c r="L50" s="95">
        <v>6621</v>
      </c>
      <c r="M50" s="101">
        <f t="shared" si="0"/>
        <v>3.7758646730101193E-3</v>
      </c>
      <c r="N50" s="91"/>
      <c r="O50" s="93" t="s">
        <v>277</v>
      </c>
      <c r="P50" s="88">
        <v>8</v>
      </c>
      <c r="Q50" s="91"/>
      <c r="R50" s="91"/>
      <c r="S50" s="91"/>
      <c r="T50" s="91"/>
      <c r="U50" s="91"/>
      <c r="V50" s="91"/>
      <c r="W50" s="91"/>
    </row>
    <row r="51" spans="2:23" x14ac:dyDescent="0.25">
      <c r="B51" s="88" t="s">
        <v>264</v>
      </c>
      <c r="C51" s="88" t="s">
        <v>38</v>
      </c>
      <c r="D51" s="88">
        <v>1.0123604741529799</v>
      </c>
      <c r="E51" s="91"/>
      <c r="F51" s="93" t="s">
        <v>38</v>
      </c>
      <c r="G51" s="88">
        <v>95</v>
      </c>
      <c r="H51" s="88">
        <v>5538</v>
      </c>
      <c r="I51" s="88">
        <v>88933</v>
      </c>
      <c r="J51" s="91"/>
      <c r="K51" s="95">
        <v>5538</v>
      </c>
      <c r="L51" s="95">
        <v>88933</v>
      </c>
      <c r="M51" s="101">
        <f t="shared" si="0"/>
        <v>6.227159771963163E-2</v>
      </c>
      <c r="N51" s="91"/>
      <c r="O51" s="93" t="s">
        <v>37</v>
      </c>
      <c r="P51" s="88">
        <v>57</v>
      </c>
      <c r="Q51" s="91"/>
      <c r="R51" s="91"/>
      <c r="S51" s="91"/>
      <c r="T51" s="91"/>
      <c r="U51" s="91"/>
      <c r="V51" s="91"/>
      <c r="W51" s="91"/>
    </row>
    <row r="52" spans="2:23" x14ac:dyDescent="0.25">
      <c r="B52" s="88" t="s">
        <v>264</v>
      </c>
      <c r="C52" s="88" t="s">
        <v>39</v>
      </c>
      <c r="D52" s="88">
        <v>0.98550338885058697</v>
      </c>
      <c r="E52" s="91"/>
      <c r="F52" s="93" t="s">
        <v>39</v>
      </c>
      <c r="G52" s="88">
        <v>56</v>
      </c>
      <c r="H52" s="88">
        <v>6120</v>
      </c>
      <c r="I52" s="88">
        <v>93650</v>
      </c>
      <c r="J52" s="91"/>
      <c r="K52" s="95">
        <v>6120</v>
      </c>
      <c r="L52" s="95">
        <v>93650</v>
      </c>
      <c r="M52" s="101">
        <f t="shared" si="0"/>
        <v>6.5349706353443671E-2</v>
      </c>
      <c r="N52" s="91"/>
      <c r="O52" s="93" t="s">
        <v>38</v>
      </c>
      <c r="P52" s="88">
        <v>1596</v>
      </c>
      <c r="Q52" s="91"/>
      <c r="R52" s="91"/>
      <c r="S52" s="91"/>
      <c r="T52" s="91"/>
      <c r="U52" s="91"/>
      <c r="V52" s="91"/>
      <c r="W52" s="91"/>
    </row>
    <row r="53" spans="2:23" x14ac:dyDescent="0.25">
      <c r="B53" s="88" t="s">
        <v>264</v>
      </c>
      <c r="C53" s="88" t="s">
        <v>60</v>
      </c>
      <c r="D53" s="88">
        <v>0.97964817238172996</v>
      </c>
      <c r="E53" s="91"/>
      <c r="F53" s="93" t="s">
        <v>60</v>
      </c>
      <c r="G53" s="88">
        <v>11</v>
      </c>
      <c r="H53" s="88">
        <v>919</v>
      </c>
      <c r="I53" s="88">
        <v>29013</v>
      </c>
      <c r="J53" s="91"/>
      <c r="K53" s="95">
        <v>919</v>
      </c>
      <c r="L53" s="95">
        <v>29013</v>
      </c>
      <c r="M53" s="101">
        <f t="shared" si="0"/>
        <v>3.1675455830145111E-2</v>
      </c>
      <c r="N53" s="91"/>
      <c r="O53" s="93" t="s">
        <v>60</v>
      </c>
      <c r="P53" s="88">
        <v>117</v>
      </c>
      <c r="Q53" s="91"/>
      <c r="R53" s="91"/>
      <c r="S53" s="91"/>
      <c r="T53" s="91"/>
      <c r="U53" s="91"/>
      <c r="V53" s="91"/>
      <c r="W53" s="91"/>
    </row>
    <row r="54" spans="2:23" x14ac:dyDescent="0.25">
      <c r="B54" s="88" t="s">
        <v>264</v>
      </c>
      <c r="C54" s="88" t="s">
        <v>61</v>
      </c>
      <c r="D54" s="88">
        <v>1.0586005187554499</v>
      </c>
      <c r="E54" s="91"/>
      <c r="F54" s="93" t="s">
        <v>61</v>
      </c>
      <c r="G54" s="88">
        <v>2</v>
      </c>
      <c r="H54" s="88">
        <v>328</v>
      </c>
      <c r="I54" s="88">
        <v>6537</v>
      </c>
      <c r="J54" s="91"/>
      <c r="K54" s="95">
        <v>328</v>
      </c>
      <c r="L54" s="95">
        <v>6537</v>
      </c>
      <c r="M54" s="101">
        <f t="shared" si="0"/>
        <v>5.0175921676610065E-2</v>
      </c>
      <c r="N54" s="91"/>
      <c r="O54" s="93" t="s">
        <v>61</v>
      </c>
      <c r="P54" s="88">
        <v>27</v>
      </c>
      <c r="Q54" s="91"/>
      <c r="R54" s="91"/>
      <c r="S54" s="91"/>
      <c r="T54" s="91"/>
      <c r="U54" s="91"/>
      <c r="V54" s="91"/>
      <c r="W54" s="91"/>
    </row>
    <row r="55" spans="2:23" x14ac:dyDescent="0.25">
      <c r="B55" s="91"/>
      <c r="C55" s="91"/>
      <c r="D55" s="91"/>
      <c r="E55" s="91"/>
      <c r="F55" s="93" t="s">
        <v>267</v>
      </c>
      <c r="G55" s="88">
        <v>7314</v>
      </c>
      <c r="H55" s="88">
        <v>415475</v>
      </c>
      <c r="I55" s="88">
        <v>5284255</v>
      </c>
      <c r="J55" s="91"/>
      <c r="K55" s="91"/>
      <c r="L55" s="91"/>
      <c r="M55" s="91"/>
      <c r="N55" s="91"/>
      <c r="O55" s="93" t="s">
        <v>267</v>
      </c>
      <c r="P55" s="88">
        <v>146460</v>
      </c>
      <c r="Q55" s="91"/>
      <c r="R55" s="91"/>
      <c r="S55" s="91"/>
      <c r="T55" s="91"/>
      <c r="U55" s="91"/>
      <c r="V55" s="91"/>
      <c r="W55" s="91"/>
    </row>
    <row r="56" spans="2:23" x14ac:dyDescent="0.25">
      <c r="B56" s="91"/>
      <c r="C56" s="91"/>
      <c r="D56" s="91"/>
      <c r="E56" s="91"/>
      <c r="F56" s="91"/>
      <c r="G56" s="91"/>
      <c r="H56" s="91"/>
      <c r="I56" s="91"/>
      <c r="J56" s="91"/>
      <c r="K56" s="91"/>
      <c r="L56" s="91"/>
      <c r="M56" s="91"/>
      <c r="N56" s="91"/>
      <c r="O56" s="91"/>
      <c r="P56" s="91"/>
      <c r="Q56" s="91"/>
      <c r="R56" s="91"/>
      <c r="S56" s="91"/>
      <c r="T56" s="91"/>
      <c r="U56" s="91"/>
      <c r="V56" s="91"/>
      <c r="W56" s="91"/>
    </row>
    <row r="57" spans="2:23" x14ac:dyDescent="0.25">
      <c r="B57" s="91"/>
      <c r="C57" s="91"/>
      <c r="D57" s="91"/>
      <c r="E57" s="91"/>
      <c r="F57" s="91"/>
      <c r="G57" s="91"/>
      <c r="H57" s="91"/>
      <c r="I57" s="91"/>
      <c r="J57" s="91"/>
      <c r="K57" s="91"/>
      <c r="L57" s="91"/>
      <c r="M57" s="91"/>
      <c r="N57" s="91"/>
      <c r="O57" s="91"/>
      <c r="P57" s="91"/>
      <c r="Q57" s="91"/>
      <c r="R57" s="91"/>
      <c r="S57" s="91"/>
      <c r="T57" s="91"/>
      <c r="U57" s="91"/>
      <c r="V57" s="91"/>
      <c r="W57" s="91"/>
    </row>
    <row r="58" spans="2:23" x14ac:dyDescent="0.25">
      <c r="B58" s="91"/>
      <c r="C58" s="91"/>
      <c r="D58" s="91"/>
      <c r="E58" s="91"/>
      <c r="F58" s="91"/>
      <c r="G58" s="91"/>
      <c r="H58" s="91"/>
      <c r="I58" s="91"/>
      <c r="J58" s="91"/>
      <c r="K58" s="91"/>
      <c r="L58" s="91"/>
      <c r="M58" s="91"/>
      <c r="N58" s="91"/>
      <c r="O58" s="91"/>
      <c r="P58" s="91"/>
      <c r="Q58" s="91"/>
      <c r="R58" s="91"/>
      <c r="S58" s="91"/>
      <c r="T58" s="91"/>
      <c r="U58" s="91"/>
      <c r="V58" s="91"/>
      <c r="W58" s="91"/>
    </row>
    <row r="59" spans="2:23" x14ac:dyDescent="0.25">
      <c r="B59" s="91"/>
      <c r="C59" s="91"/>
      <c r="D59" s="91"/>
      <c r="E59" s="91"/>
      <c r="F59" s="91"/>
      <c r="G59" s="91"/>
      <c r="H59" s="91"/>
      <c r="I59" s="91"/>
      <c r="J59" s="91"/>
      <c r="K59" s="91"/>
      <c r="L59" s="91"/>
      <c r="M59" s="91"/>
      <c r="N59" s="91"/>
      <c r="O59" s="91"/>
      <c r="P59" s="91"/>
      <c r="Q59" s="91"/>
      <c r="R59" s="91"/>
      <c r="S59" s="91"/>
      <c r="T59" s="91"/>
      <c r="U59" s="91"/>
      <c r="V59" s="91"/>
      <c r="W59" s="91"/>
    </row>
    <row r="60" spans="2:23" x14ac:dyDescent="0.25">
      <c r="B60" s="91"/>
      <c r="C60" s="91"/>
      <c r="D60" s="91"/>
      <c r="E60" s="91"/>
      <c r="F60" s="91"/>
      <c r="G60" s="91"/>
      <c r="H60" s="91"/>
      <c r="I60" s="91"/>
      <c r="J60" s="91"/>
      <c r="K60" s="91"/>
      <c r="L60" s="91"/>
      <c r="M60" s="91"/>
      <c r="N60" s="91"/>
      <c r="O60" s="91"/>
      <c r="P60" s="91"/>
      <c r="Q60" s="91"/>
      <c r="R60" s="91"/>
      <c r="S60" s="91"/>
      <c r="T60" s="91"/>
      <c r="U60" s="91"/>
      <c r="V60" s="91"/>
      <c r="W60" s="91"/>
    </row>
    <row r="61" spans="2:23" x14ac:dyDescent="0.25">
      <c r="B61" s="91"/>
      <c r="C61" s="91"/>
      <c r="D61" s="91"/>
      <c r="E61" s="91"/>
      <c r="F61" s="91"/>
      <c r="G61" s="91"/>
      <c r="H61" s="91"/>
      <c r="I61" s="91"/>
      <c r="J61" s="91"/>
      <c r="K61" s="91"/>
      <c r="L61" s="91"/>
      <c r="M61" s="91"/>
      <c r="N61" s="91"/>
      <c r="O61" s="91"/>
      <c r="P61" s="91"/>
      <c r="Q61" s="91"/>
      <c r="R61" s="91"/>
      <c r="S61" s="91"/>
      <c r="T61" s="91"/>
      <c r="U61" s="91"/>
      <c r="V61" s="91"/>
      <c r="W61" s="91"/>
    </row>
    <row r="62" spans="2:23" x14ac:dyDescent="0.25">
      <c r="B62" s="91"/>
      <c r="C62" s="91"/>
      <c r="D62" s="91"/>
      <c r="E62" s="91"/>
      <c r="F62" s="91"/>
      <c r="G62" s="91"/>
      <c r="H62" s="91"/>
      <c r="I62" s="91"/>
      <c r="J62" s="91"/>
      <c r="K62" s="91"/>
      <c r="L62" s="91"/>
      <c r="M62" s="91"/>
      <c r="N62" s="91"/>
      <c r="O62" s="91"/>
      <c r="P62" s="91"/>
      <c r="Q62" s="91"/>
      <c r="R62" s="91"/>
      <c r="S62" s="91"/>
      <c r="T62" s="91"/>
      <c r="U62" s="91"/>
      <c r="V62" s="91"/>
      <c r="W62" s="91"/>
    </row>
    <row r="63" spans="2:23" x14ac:dyDescent="0.25">
      <c r="B63" s="91"/>
      <c r="C63" s="91"/>
      <c r="D63" s="91"/>
      <c r="E63" s="91"/>
      <c r="F63" s="91"/>
      <c r="G63" s="91"/>
      <c r="H63" s="91"/>
      <c r="I63" s="91"/>
      <c r="J63" s="91"/>
      <c r="K63" s="91"/>
      <c r="L63" s="91"/>
      <c r="M63" s="91"/>
      <c r="N63" s="91"/>
      <c r="O63" s="91"/>
      <c r="P63" s="91"/>
      <c r="Q63" s="91"/>
      <c r="R63" s="91"/>
      <c r="S63" s="91"/>
      <c r="T63" s="91"/>
      <c r="U63" s="91"/>
      <c r="V63" s="91"/>
      <c r="W63" s="91"/>
    </row>
    <row r="64" spans="2:23" x14ac:dyDescent="0.25">
      <c r="B64" s="91"/>
      <c r="C64" s="91"/>
      <c r="D64" s="91"/>
      <c r="E64" s="91"/>
      <c r="F64" s="91"/>
      <c r="G64" s="91"/>
      <c r="H64" s="91"/>
      <c r="I64" s="91"/>
      <c r="J64" s="91"/>
      <c r="K64" s="91"/>
      <c r="L64" s="91"/>
      <c r="M64" s="91"/>
      <c r="N64" s="91"/>
      <c r="O64" s="91"/>
      <c r="P64" s="91"/>
      <c r="Q64" s="91"/>
      <c r="R64" s="91"/>
      <c r="S64" s="91"/>
      <c r="T64" s="91"/>
      <c r="U64" s="91"/>
      <c r="V64" s="91"/>
      <c r="W64" s="91"/>
    </row>
    <row r="65" spans="2:23" x14ac:dyDescent="0.25">
      <c r="B65" s="91"/>
      <c r="C65" s="91"/>
      <c r="D65" s="91"/>
      <c r="E65" s="91"/>
      <c r="F65" s="91"/>
      <c r="G65" s="91"/>
      <c r="H65" s="91"/>
      <c r="I65" s="91"/>
      <c r="J65" s="91"/>
      <c r="K65" s="91"/>
      <c r="L65" s="91"/>
      <c r="M65" s="91"/>
      <c r="N65" s="91"/>
      <c r="O65" s="91"/>
      <c r="P65" s="91"/>
      <c r="Q65" s="91"/>
      <c r="R65" s="91"/>
      <c r="S65" s="91"/>
      <c r="T65" s="91"/>
      <c r="U65" s="91"/>
      <c r="V65" s="91"/>
      <c r="W65" s="91"/>
    </row>
    <row r="66" spans="2:23" x14ac:dyDescent="0.25">
      <c r="B66" s="91"/>
      <c r="C66" s="91"/>
      <c r="D66" s="91"/>
      <c r="E66" s="91"/>
      <c r="F66" s="91"/>
      <c r="G66" s="91"/>
      <c r="H66" s="91"/>
      <c r="I66" s="91"/>
      <c r="J66" s="91"/>
      <c r="K66" s="91"/>
      <c r="L66" s="91"/>
      <c r="M66" s="91"/>
      <c r="N66" s="91"/>
      <c r="O66" s="91"/>
      <c r="P66" s="91"/>
      <c r="Q66" s="91"/>
      <c r="R66" s="91"/>
      <c r="S66" s="91"/>
      <c r="T66" s="91"/>
      <c r="U66" s="91"/>
      <c r="V66" s="91"/>
      <c r="W66" s="91"/>
    </row>
    <row r="67" spans="2:23" x14ac:dyDescent="0.25">
      <c r="B67" s="91"/>
      <c r="C67" s="91"/>
      <c r="D67" s="91"/>
      <c r="E67" s="91"/>
      <c r="F67" s="91"/>
      <c r="G67" s="91"/>
      <c r="H67" s="91"/>
      <c r="I67" s="91"/>
      <c r="J67" s="91"/>
      <c r="K67" s="91"/>
      <c r="L67" s="91"/>
      <c r="M67" s="91"/>
      <c r="N67" s="91"/>
      <c r="O67" s="91"/>
      <c r="P67" s="91"/>
      <c r="Q67" s="91"/>
      <c r="R67" s="91"/>
      <c r="S67" s="91"/>
      <c r="T67" s="91"/>
      <c r="U67" s="91"/>
      <c r="V67" s="91"/>
      <c r="W67" s="91"/>
    </row>
    <row r="68" spans="2:23" x14ac:dyDescent="0.25">
      <c r="B68" s="91"/>
      <c r="C68" s="91"/>
      <c r="D68" s="91"/>
      <c r="E68" s="91"/>
      <c r="F68" s="91"/>
      <c r="G68" s="91"/>
      <c r="H68" s="91"/>
      <c r="I68" s="91"/>
      <c r="J68" s="91"/>
      <c r="K68" s="91"/>
      <c r="L68" s="91"/>
      <c r="M68" s="91"/>
      <c r="N68" s="91"/>
      <c r="O68" s="91"/>
      <c r="P68" s="91"/>
      <c r="Q68" s="91"/>
      <c r="R68" s="91"/>
      <c r="S68" s="91"/>
      <c r="T68" s="91"/>
      <c r="U68" s="91"/>
      <c r="V68" s="91"/>
      <c r="W68" s="91"/>
    </row>
    <row r="69" spans="2:23" x14ac:dyDescent="0.25">
      <c r="B69" s="91"/>
      <c r="C69" s="91"/>
      <c r="D69" s="91"/>
      <c r="E69" s="91"/>
      <c r="F69" s="91"/>
      <c r="G69" s="91"/>
      <c r="H69" s="91"/>
      <c r="I69" s="91"/>
      <c r="J69" s="91"/>
      <c r="K69" s="91"/>
      <c r="L69" s="91"/>
      <c r="M69" s="91"/>
      <c r="N69" s="91"/>
      <c r="O69" s="91"/>
      <c r="P69" s="91"/>
      <c r="Q69" s="91"/>
      <c r="R69" s="91"/>
      <c r="S69" s="91"/>
      <c r="T69" s="91"/>
      <c r="U69" s="91"/>
      <c r="V69" s="91"/>
      <c r="W69" s="91"/>
    </row>
    <row r="70" spans="2:23" x14ac:dyDescent="0.25">
      <c r="B70" s="91"/>
      <c r="C70" s="91"/>
      <c r="D70" s="91"/>
      <c r="E70" s="91"/>
      <c r="F70" s="91"/>
      <c r="G70" s="91"/>
      <c r="H70" s="91"/>
      <c r="I70" s="91"/>
      <c r="J70" s="91"/>
      <c r="K70" s="91"/>
      <c r="L70" s="91"/>
      <c r="M70" s="91"/>
      <c r="N70" s="91"/>
      <c r="O70" s="91"/>
      <c r="P70" s="91"/>
      <c r="Q70" s="91"/>
      <c r="R70" s="91"/>
      <c r="S70" s="91"/>
      <c r="T70" s="91"/>
      <c r="U70" s="91"/>
      <c r="V70" s="91"/>
      <c r="W70" s="91"/>
    </row>
    <row r="71" spans="2:23" x14ac:dyDescent="0.25">
      <c r="B71" s="91"/>
      <c r="C71" s="91"/>
      <c r="D71" s="91"/>
      <c r="E71" s="91"/>
      <c r="F71" s="91"/>
      <c r="G71" s="91"/>
      <c r="H71" s="91"/>
      <c r="I71" s="91"/>
      <c r="J71" s="91"/>
      <c r="K71" s="91"/>
      <c r="L71" s="91"/>
      <c r="M71" s="91"/>
      <c r="N71" s="91"/>
      <c r="O71" s="91"/>
      <c r="P71" s="91"/>
      <c r="Q71" s="91"/>
      <c r="R71" s="91"/>
      <c r="S71" s="91"/>
      <c r="T71" s="91"/>
      <c r="U71" s="91"/>
      <c r="V71" s="91"/>
      <c r="W71" s="91"/>
    </row>
    <row r="72" spans="2:23" x14ac:dyDescent="0.25">
      <c r="B72" s="91"/>
      <c r="C72" s="91"/>
      <c r="D72" s="91"/>
      <c r="E72" s="91"/>
      <c r="F72" s="91"/>
      <c r="G72" s="91"/>
      <c r="H72" s="91"/>
      <c r="I72" s="91"/>
      <c r="J72" s="91"/>
      <c r="K72" s="91"/>
      <c r="L72" s="91"/>
      <c r="M72" s="91"/>
      <c r="N72" s="91"/>
      <c r="O72" s="91"/>
      <c r="P72" s="91"/>
      <c r="Q72" s="91"/>
      <c r="R72" s="91"/>
      <c r="S72" s="91"/>
      <c r="T72" s="91"/>
      <c r="U72" s="91"/>
      <c r="V72" s="91"/>
      <c r="W72" s="91"/>
    </row>
    <row r="73" spans="2:23" x14ac:dyDescent="0.25">
      <c r="B73" s="91"/>
      <c r="C73" s="91"/>
      <c r="D73" s="91"/>
      <c r="E73" s="91"/>
      <c r="F73" s="91"/>
      <c r="G73" s="91"/>
      <c r="H73" s="91"/>
      <c r="I73" s="91"/>
      <c r="J73" s="91"/>
      <c r="K73" s="91"/>
      <c r="L73" s="91"/>
      <c r="M73" s="91"/>
      <c r="N73" s="91"/>
      <c r="O73" s="91"/>
      <c r="P73" s="91"/>
      <c r="Q73" s="91"/>
      <c r="R73" s="91"/>
      <c r="S73" s="91"/>
      <c r="T73" s="91"/>
      <c r="U73" s="91"/>
      <c r="V73" s="91"/>
      <c r="W73" s="91"/>
    </row>
    <row r="74" spans="2:23" x14ac:dyDescent="0.25">
      <c r="B74" s="91"/>
      <c r="C74" s="91"/>
      <c r="D74" s="91"/>
      <c r="E74" s="91"/>
      <c r="F74" s="91"/>
      <c r="G74" s="91"/>
      <c r="H74" s="91"/>
      <c r="I74" s="91"/>
      <c r="J74" s="91"/>
      <c r="K74" s="91"/>
      <c r="L74" s="91"/>
      <c r="M74" s="91"/>
      <c r="N74" s="91"/>
      <c r="O74" s="91"/>
      <c r="P74" s="91"/>
      <c r="Q74" s="91"/>
      <c r="R74" s="91"/>
      <c r="S74" s="91"/>
      <c r="T74" s="91"/>
      <c r="U74" s="91"/>
      <c r="V74" s="91"/>
      <c r="W74" s="91"/>
    </row>
    <row r="75" spans="2:23" x14ac:dyDescent="0.25">
      <c r="B75" s="91"/>
      <c r="C75" s="91"/>
      <c r="D75" s="91"/>
      <c r="E75" s="91"/>
      <c r="F75" s="91"/>
      <c r="G75" s="91"/>
      <c r="H75" s="91"/>
      <c r="I75" s="91"/>
      <c r="J75" s="91"/>
      <c r="K75" s="91"/>
      <c r="L75" s="91"/>
      <c r="M75" s="91"/>
      <c r="N75" s="91"/>
      <c r="O75" s="91"/>
      <c r="P75" s="91"/>
      <c r="Q75" s="91"/>
      <c r="R75" s="91"/>
      <c r="S75" s="91"/>
      <c r="T75" s="91"/>
      <c r="U75" s="91"/>
      <c r="V75" s="91"/>
      <c r="W75" s="91"/>
    </row>
    <row r="76" spans="2:23" x14ac:dyDescent="0.25">
      <c r="B76" s="91"/>
      <c r="C76" s="91"/>
      <c r="D76" s="91"/>
      <c r="E76" s="91"/>
      <c r="F76" s="91"/>
      <c r="G76" s="91"/>
      <c r="H76" s="91"/>
      <c r="I76" s="91"/>
      <c r="J76" s="91"/>
      <c r="K76" s="91"/>
      <c r="L76" s="91"/>
      <c r="M76" s="91"/>
      <c r="N76" s="91"/>
      <c r="O76" s="91"/>
      <c r="P76" s="91"/>
      <c r="Q76" s="91"/>
      <c r="R76" s="91"/>
      <c r="S76" s="91"/>
      <c r="T76" s="91"/>
      <c r="U76" s="91"/>
      <c r="V76" s="91"/>
      <c r="W76" s="91"/>
    </row>
    <row r="77" spans="2:23" x14ac:dyDescent="0.25">
      <c r="B77" s="91"/>
      <c r="C77" s="91"/>
      <c r="D77" s="91"/>
      <c r="E77" s="91"/>
      <c r="F77" s="91"/>
      <c r="G77" s="91"/>
      <c r="H77" s="91"/>
      <c r="I77" s="91"/>
      <c r="J77" s="91"/>
      <c r="K77" s="91"/>
      <c r="L77" s="91"/>
      <c r="M77" s="91"/>
      <c r="N77" s="91"/>
      <c r="O77" s="91"/>
      <c r="P77" s="91"/>
      <c r="Q77" s="91"/>
      <c r="R77" s="91"/>
      <c r="S77" s="91"/>
      <c r="T77" s="91"/>
      <c r="U77" s="91"/>
      <c r="V77" s="91"/>
      <c r="W77" s="91"/>
    </row>
    <row r="78" spans="2:23" x14ac:dyDescent="0.25">
      <c r="B78" s="91"/>
      <c r="C78" s="91"/>
      <c r="D78" s="91"/>
      <c r="E78" s="91"/>
      <c r="F78" s="91"/>
      <c r="G78" s="91"/>
      <c r="H78" s="91"/>
      <c r="I78" s="91"/>
      <c r="J78" s="91"/>
      <c r="K78" s="91"/>
      <c r="L78" s="91"/>
      <c r="M78" s="91"/>
      <c r="N78" s="91"/>
      <c r="O78" s="91"/>
      <c r="P78" s="91"/>
      <c r="Q78" s="91"/>
      <c r="R78" s="91"/>
      <c r="S78" s="91"/>
      <c r="T78" s="91"/>
      <c r="U78" s="91"/>
      <c r="V78" s="91"/>
      <c r="W78" s="91"/>
    </row>
    <row r="79" spans="2:23" x14ac:dyDescent="0.25">
      <c r="B79" s="91"/>
      <c r="C79" s="91"/>
      <c r="D79" s="91"/>
      <c r="E79" s="91"/>
      <c r="F79" s="91"/>
      <c r="G79" s="91"/>
      <c r="H79" s="91"/>
      <c r="I79" s="91"/>
      <c r="J79" s="91"/>
      <c r="K79" s="91"/>
      <c r="L79" s="91"/>
      <c r="M79" s="91"/>
      <c r="N79" s="91"/>
      <c r="O79" s="91"/>
      <c r="P79" s="91"/>
      <c r="Q79" s="91"/>
      <c r="R79" s="91"/>
      <c r="S79" s="91"/>
      <c r="T79" s="91"/>
      <c r="U79" s="91"/>
      <c r="V79" s="91"/>
      <c r="W79" s="91"/>
    </row>
    <row r="80" spans="2:23" x14ac:dyDescent="0.25">
      <c r="B80" s="91"/>
      <c r="C80" s="91"/>
      <c r="D80" s="91"/>
      <c r="E80" s="91"/>
      <c r="F80" s="91"/>
      <c r="G80" s="91"/>
      <c r="H80" s="91"/>
      <c r="I80" s="91"/>
      <c r="J80" s="91"/>
      <c r="K80" s="91"/>
      <c r="L80" s="91"/>
      <c r="M80" s="91"/>
      <c r="N80" s="91"/>
      <c r="O80" s="91"/>
      <c r="P80" s="91"/>
      <c r="Q80" s="91"/>
      <c r="R80" s="91"/>
      <c r="S80" s="91"/>
      <c r="T80" s="91"/>
      <c r="U80" s="91"/>
      <c r="V80" s="91"/>
      <c r="W80" s="91"/>
    </row>
    <row r="81" spans="2:23" x14ac:dyDescent="0.25">
      <c r="B81" s="91"/>
      <c r="C81" s="91"/>
      <c r="D81" s="91"/>
      <c r="E81" s="91"/>
      <c r="F81" s="91"/>
      <c r="G81" s="91"/>
      <c r="H81" s="91"/>
      <c r="I81" s="91"/>
      <c r="J81" s="91"/>
      <c r="K81" s="91"/>
      <c r="L81" s="91"/>
      <c r="M81" s="91"/>
      <c r="N81" s="91"/>
      <c r="O81" s="91"/>
      <c r="P81" s="91"/>
      <c r="Q81" s="91"/>
      <c r="R81" s="91"/>
      <c r="S81" s="91"/>
      <c r="T81" s="91"/>
      <c r="U81" s="91"/>
      <c r="V81" s="91"/>
      <c r="W81" s="91"/>
    </row>
    <row r="82" spans="2:23" x14ac:dyDescent="0.25">
      <c r="B82" s="91"/>
      <c r="C82" s="91"/>
      <c r="D82" s="91"/>
      <c r="E82" s="91"/>
      <c r="F82" s="91"/>
      <c r="G82" s="91"/>
      <c r="H82" s="91"/>
      <c r="I82" s="91"/>
      <c r="J82" s="91"/>
      <c r="K82" s="91"/>
      <c r="L82" s="91"/>
      <c r="M82" s="91"/>
      <c r="N82" s="91"/>
      <c r="O82" s="91"/>
      <c r="P82" s="91"/>
      <c r="Q82" s="91"/>
      <c r="R82" s="91"/>
      <c r="S82" s="91"/>
      <c r="T82" s="91"/>
      <c r="U82" s="91"/>
      <c r="V82" s="91"/>
      <c r="W82" s="91"/>
    </row>
    <row r="83" spans="2:23" x14ac:dyDescent="0.25">
      <c r="B83" s="91"/>
      <c r="C83" s="91"/>
      <c r="D83" s="91"/>
      <c r="E83" s="91"/>
      <c r="F83" s="91"/>
      <c r="G83" s="91"/>
      <c r="H83" s="91"/>
      <c r="I83" s="91"/>
      <c r="J83" s="91"/>
      <c r="K83" s="91"/>
      <c r="L83" s="91"/>
      <c r="M83" s="91"/>
      <c r="N83" s="91"/>
      <c r="O83" s="91"/>
      <c r="P83" s="91"/>
      <c r="Q83" s="91"/>
      <c r="R83" s="91"/>
      <c r="S83" s="91"/>
      <c r="T83" s="91"/>
      <c r="U83" s="91"/>
      <c r="V83" s="91"/>
      <c r="W83" s="91"/>
    </row>
    <row r="84" spans="2:23" x14ac:dyDescent="0.25">
      <c r="B84" s="91"/>
      <c r="C84" s="91"/>
      <c r="D84" s="91"/>
      <c r="E84" s="91"/>
      <c r="F84" s="91"/>
      <c r="G84" s="91"/>
      <c r="H84" s="91"/>
      <c r="I84" s="91"/>
      <c r="J84" s="91"/>
      <c r="K84" s="91"/>
      <c r="L84" s="91"/>
      <c r="M84" s="91"/>
      <c r="N84" s="91"/>
      <c r="O84" s="91"/>
      <c r="P84" s="91"/>
      <c r="Q84" s="91"/>
      <c r="R84" s="91"/>
      <c r="S84" s="91"/>
      <c r="T84" s="91"/>
      <c r="U84" s="91"/>
      <c r="V84" s="91"/>
      <c r="W84" s="91"/>
    </row>
    <row r="85" spans="2:23" x14ac:dyDescent="0.25">
      <c r="B85" s="91"/>
      <c r="C85" s="91"/>
      <c r="D85" s="91"/>
      <c r="E85" s="91"/>
      <c r="F85" s="91"/>
      <c r="G85" s="91"/>
      <c r="H85" s="91"/>
      <c r="I85" s="91"/>
      <c r="J85" s="91"/>
      <c r="K85" s="91"/>
      <c r="L85" s="91"/>
      <c r="M85" s="91"/>
      <c r="N85" s="91"/>
      <c r="O85" s="91"/>
      <c r="P85" s="91"/>
      <c r="Q85" s="91"/>
      <c r="R85" s="91"/>
      <c r="S85" s="91"/>
      <c r="T85" s="91"/>
      <c r="U85" s="91"/>
      <c r="V85" s="91"/>
      <c r="W85" s="91"/>
    </row>
    <row r="86" spans="2:23" x14ac:dyDescent="0.25">
      <c r="B86" s="91"/>
      <c r="C86" s="91"/>
      <c r="D86" s="91"/>
      <c r="E86" s="91"/>
      <c r="F86" s="91"/>
      <c r="G86" s="91"/>
      <c r="H86" s="91"/>
      <c r="I86" s="91"/>
      <c r="J86" s="91"/>
      <c r="K86" s="91"/>
      <c r="L86" s="91"/>
      <c r="M86" s="91"/>
      <c r="N86" s="91"/>
      <c r="O86" s="91"/>
      <c r="P86" s="91"/>
      <c r="Q86" s="91"/>
      <c r="R86" s="91"/>
      <c r="S86" s="91"/>
      <c r="T86" s="91"/>
      <c r="U86" s="91"/>
      <c r="V86" s="91"/>
      <c r="W86" s="91"/>
    </row>
    <row r="87" spans="2:23" x14ac:dyDescent="0.25">
      <c r="B87" s="91"/>
      <c r="C87" s="91"/>
      <c r="D87" s="91"/>
      <c r="E87" s="91"/>
      <c r="F87" s="91"/>
      <c r="G87" s="91"/>
      <c r="H87" s="91"/>
      <c r="I87" s="91"/>
      <c r="J87" s="91"/>
      <c r="K87" s="91"/>
      <c r="L87" s="91"/>
      <c r="M87" s="91"/>
      <c r="N87" s="91"/>
      <c r="O87" s="91"/>
      <c r="P87" s="91"/>
      <c r="Q87" s="91"/>
      <c r="R87" s="91"/>
      <c r="S87" s="91"/>
      <c r="T87" s="91"/>
      <c r="U87" s="91"/>
      <c r="V87" s="91"/>
      <c r="W87" s="91"/>
    </row>
    <row r="88" spans="2:23" x14ac:dyDescent="0.25">
      <c r="B88" s="91"/>
      <c r="C88" s="91"/>
      <c r="D88" s="91"/>
      <c r="E88" s="91"/>
      <c r="F88" s="91"/>
      <c r="G88" s="91"/>
      <c r="H88" s="91"/>
      <c r="I88" s="91"/>
      <c r="J88" s="91"/>
      <c r="K88" s="91"/>
      <c r="L88" s="91"/>
      <c r="M88" s="91"/>
      <c r="N88" s="91"/>
      <c r="O88" s="91"/>
      <c r="P88" s="91"/>
      <c r="Q88" s="91"/>
      <c r="R88" s="91"/>
      <c r="S88" s="91"/>
      <c r="T88" s="91"/>
      <c r="U88" s="91"/>
      <c r="V88" s="91"/>
      <c r="W88" s="91"/>
    </row>
    <row r="89" spans="2:23" x14ac:dyDescent="0.25">
      <c r="B89" s="91"/>
      <c r="C89" s="91"/>
      <c r="D89" s="91"/>
      <c r="E89" s="91"/>
      <c r="F89" s="91"/>
      <c r="G89" s="91"/>
      <c r="H89" s="91"/>
      <c r="I89" s="91"/>
      <c r="J89" s="91"/>
      <c r="K89" s="91"/>
      <c r="L89" s="91"/>
      <c r="M89" s="91"/>
      <c r="N89" s="91"/>
      <c r="O89" s="91"/>
      <c r="P89" s="91"/>
      <c r="Q89" s="91"/>
      <c r="R89" s="91"/>
      <c r="S89" s="91"/>
      <c r="T89" s="91"/>
      <c r="U89" s="91"/>
      <c r="V89" s="91"/>
      <c r="W89" s="91"/>
    </row>
    <row r="90" spans="2:23" x14ac:dyDescent="0.25">
      <c r="B90" s="91"/>
      <c r="C90" s="91"/>
      <c r="D90" s="91"/>
      <c r="E90" s="91"/>
      <c r="F90" s="91"/>
      <c r="G90" s="91"/>
      <c r="H90" s="91"/>
      <c r="I90" s="91"/>
      <c r="J90" s="91"/>
      <c r="K90" s="91"/>
      <c r="L90" s="91"/>
      <c r="M90" s="91"/>
      <c r="N90" s="91"/>
      <c r="O90" s="91"/>
      <c r="P90" s="91"/>
      <c r="Q90" s="91"/>
      <c r="R90" s="91"/>
      <c r="S90" s="91"/>
      <c r="T90" s="91"/>
      <c r="U90" s="91"/>
      <c r="V90" s="91"/>
      <c r="W90" s="91"/>
    </row>
    <row r="91" spans="2:23" x14ac:dyDescent="0.25">
      <c r="B91" s="91"/>
      <c r="C91" s="91"/>
      <c r="D91" s="91"/>
      <c r="E91" s="91"/>
      <c r="F91" s="91"/>
      <c r="G91" s="91"/>
      <c r="H91" s="91"/>
      <c r="I91" s="91"/>
      <c r="J91" s="91"/>
      <c r="K91" s="91"/>
      <c r="L91" s="91"/>
      <c r="M91" s="91"/>
      <c r="N91" s="91"/>
      <c r="O91" s="91"/>
      <c r="P91" s="91"/>
      <c r="Q91" s="91"/>
      <c r="R91" s="91"/>
      <c r="S91" s="91"/>
      <c r="T91" s="91"/>
      <c r="U91" s="91"/>
      <c r="V91" s="91"/>
      <c r="W91" s="91"/>
    </row>
    <row r="92" spans="2:23" x14ac:dyDescent="0.25">
      <c r="B92" s="91"/>
      <c r="C92" s="91"/>
      <c r="D92" s="91"/>
      <c r="E92" s="91"/>
      <c r="F92" s="91"/>
      <c r="G92" s="91"/>
      <c r="H92" s="91"/>
      <c r="I92" s="91"/>
      <c r="J92" s="91"/>
      <c r="K92" s="91"/>
      <c r="L92" s="91"/>
      <c r="M92" s="91"/>
      <c r="N92" s="91"/>
      <c r="O92" s="91"/>
      <c r="P92" s="91"/>
      <c r="Q92" s="91"/>
      <c r="R92" s="91"/>
      <c r="S92" s="91"/>
      <c r="T92" s="91"/>
      <c r="U92" s="91"/>
      <c r="V92" s="91"/>
      <c r="W92" s="91"/>
    </row>
    <row r="93" spans="2:23" x14ac:dyDescent="0.25">
      <c r="B93" s="91"/>
      <c r="C93" s="91"/>
      <c r="D93" s="91"/>
      <c r="E93" s="91"/>
      <c r="F93" s="91"/>
      <c r="G93" s="91"/>
      <c r="H93" s="91"/>
      <c r="I93" s="91"/>
      <c r="J93" s="91"/>
      <c r="K93" s="91"/>
      <c r="L93" s="91"/>
      <c r="M93" s="91"/>
      <c r="N93" s="91"/>
      <c r="O93" s="91"/>
      <c r="P93" s="91"/>
      <c r="Q93" s="91"/>
      <c r="R93" s="91"/>
      <c r="S93" s="91"/>
      <c r="T93" s="91"/>
      <c r="U93" s="91"/>
      <c r="V93" s="91"/>
      <c r="W93" s="91"/>
    </row>
    <row r="94" spans="2:23" x14ac:dyDescent="0.25">
      <c r="B94" s="91"/>
      <c r="C94" s="91"/>
      <c r="D94" s="91"/>
      <c r="E94" s="91"/>
      <c r="F94" s="91"/>
      <c r="G94" s="91"/>
      <c r="H94" s="91"/>
      <c r="I94" s="91"/>
      <c r="J94" s="91"/>
      <c r="K94" s="91"/>
      <c r="L94" s="91"/>
      <c r="M94" s="91"/>
      <c r="N94" s="91"/>
      <c r="O94" s="91"/>
      <c r="P94" s="91"/>
      <c r="Q94" s="91"/>
      <c r="R94" s="91"/>
      <c r="S94" s="91"/>
      <c r="T94" s="91"/>
      <c r="U94" s="91"/>
      <c r="V94" s="91"/>
      <c r="W94" s="91"/>
    </row>
    <row r="95" spans="2:23" x14ac:dyDescent="0.25">
      <c r="B95" s="91"/>
      <c r="C95" s="91"/>
      <c r="D95" s="91"/>
      <c r="E95" s="91"/>
      <c r="F95" s="91"/>
      <c r="G95" s="91"/>
      <c r="H95" s="91"/>
      <c r="I95" s="91"/>
      <c r="J95" s="91"/>
      <c r="K95" s="91"/>
      <c r="L95" s="91"/>
      <c r="M95" s="91"/>
      <c r="N95" s="91"/>
      <c r="O95" s="91"/>
      <c r="P95" s="91"/>
      <c r="Q95" s="91"/>
      <c r="R95" s="91"/>
      <c r="S95" s="91"/>
      <c r="T95" s="91"/>
      <c r="U95" s="91"/>
      <c r="V95" s="91"/>
      <c r="W95" s="91"/>
    </row>
    <row r="96" spans="2:23" x14ac:dyDescent="0.25">
      <c r="B96" s="91"/>
      <c r="C96" s="91"/>
      <c r="D96" s="91"/>
      <c r="E96" s="91"/>
      <c r="F96" s="91"/>
      <c r="G96" s="91"/>
      <c r="H96" s="91"/>
      <c r="I96" s="91"/>
      <c r="J96" s="91"/>
      <c r="K96" s="91"/>
      <c r="L96" s="91"/>
      <c r="M96" s="91"/>
      <c r="N96" s="91"/>
      <c r="O96" s="91"/>
      <c r="P96" s="91"/>
      <c r="Q96" s="91"/>
      <c r="R96" s="91"/>
      <c r="S96" s="91"/>
      <c r="T96" s="91"/>
      <c r="U96" s="91"/>
      <c r="V96" s="91"/>
      <c r="W96" s="91"/>
    </row>
    <row r="97" spans="2:23" x14ac:dyDescent="0.25">
      <c r="B97" s="91"/>
      <c r="C97" s="91"/>
      <c r="D97" s="91"/>
      <c r="E97" s="91"/>
      <c r="F97" s="91"/>
      <c r="G97" s="91"/>
      <c r="H97" s="91"/>
      <c r="I97" s="91"/>
      <c r="J97" s="91"/>
      <c r="K97" s="91"/>
      <c r="L97" s="91"/>
      <c r="M97" s="91"/>
      <c r="N97" s="91"/>
      <c r="O97" s="91"/>
      <c r="P97" s="91"/>
      <c r="Q97" s="91"/>
      <c r="R97" s="91"/>
      <c r="S97" s="91"/>
      <c r="T97" s="91"/>
      <c r="U97" s="91"/>
      <c r="V97" s="91"/>
      <c r="W97" s="91"/>
    </row>
    <row r="98" spans="2:23" x14ac:dyDescent="0.25">
      <c r="B98" s="91"/>
      <c r="C98" s="91"/>
      <c r="D98" s="91"/>
      <c r="E98" s="91"/>
      <c r="F98" s="91"/>
      <c r="G98" s="91"/>
      <c r="H98" s="91"/>
      <c r="I98" s="91"/>
      <c r="J98" s="91"/>
      <c r="K98" s="91"/>
      <c r="L98" s="91"/>
      <c r="M98" s="91"/>
      <c r="N98" s="91"/>
      <c r="O98" s="91"/>
      <c r="P98" s="91"/>
      <c r="Q98" s="91"/>
      <c r="R98" s="91"/>
      <c r="S98" s="91"/>
      <c r="T98" s="91"/>
      <c r="U98" s="91"/>
      <c r="V98" s="91"/>
      <c r="W98" s="91"/>
    </row>
    <row r="99" spans="2:23" x14ac:dyDescent="0.25">
      <c r="B99" s="91"/>
      <c r="C99" s="91"/>
      <c r="D99" s="91"/>
      <c r="E99" s="91"/>
      <c r="F99" s="91"/>
      <c r="G99" s="91"/>
      <c r="H99" s="91"/>
      <c r="I99" s="91"/>
      <c r="J99" s="91"/>
      <c r="K99" s="91"/>
      <c r="L99" s="91"/>
      <c r="M99" s="91"/>
      <c r="N99" s="91"/>
      <c r="O99" s="91"/>
      <c r="P99" s="91"/>
      <c r="Q99" s="91"/>
      <c r="R99" s="91"/>
      <c r="S99" s="91"/>
      <c r="T99" s="91"/>
      <c r="U99" s="91"/>
      <c r="V99" s="91"/>
      <c r="W99" s="91"/>
    </row>
    <row r="100" spans="2:23" x14ac:dyDescent="0.25">
      <c r="B100" s="91"/>
      <c r="C100" s="91"/>
      <c r="D100" s="91"/>
      <c r="E100" s="91"/>
      <c r="F100" s="91"/>
      <c r="G100" s="91"/>
      <c r="H100" s="91"/>
      <c r="I100" s="91"/>
      <c r="J100" s="91"/>
      <c r="K100" s="91"/>
      <c r="L100" s="91"/>
      <c r="M100" s="91"/>
      <c r="N100" s="91"/>
      <c r="O100" s="91"/>
      <c r="P100" s="91"/>
      <c r="Q100" s="91"/>
      <c r="R100" s="91"/>
      <c r="S100" s="91"/>
      <c r="T100" s="91"/>
      <c r="U100" s="91"/>
      <c r="V100" s="91"/>
      <c r="W100" s="91"/>
    </row>
    <row r="101" spans="2:23" x14ac:dyDescent="0.25">
      <c r="B101" s="91"/>
      <c r="C101" s="91"/>
      <c r="D101" s="91"/>
      <c r="E101" s="91"/>
      <c r="F101" s="91"/>
      <c r="G101" s="91"/>
      <c r="H101" s="91"/>
      <c r="I101" s="91"/>
      <c r="J101" s="91"/>
      <c r="K101" s="91"/>
      <c r="L101" s="91"/>
      <c r="M101" s="91"/>
      <c r="N101" s="91"/>
      <c r="O101" s="91"/>
      <c r="P101" s="91"/>
      <c r="Q101" s="91"/>
      <c r="R101" s="91"/>
      <c r="S101" s="91"/>
      <c r="T101" s="91"/>
      <c r="U101" s="91"/>
      <c r="V101" s="91"/>
      <c r="W101" s="91"/>
    </row>
    <row r="102" spans="2:23" x14ac:dyDescent="0.25">
      <c r="B102" s="91"/>
      <c r="C102" s="91"/>
      <c r="D102" s="91"/>
      <c r="E102" s="91"/>
      <c r="F102" s="91"/>
      <c r="G102" s="91"/>
      <c r="H102" s="91"/>
      <c r="I102" s="91"/>
      <c r="J102" s="91"/>
      <c r="K102" s="91"/>
      <c r="L102" s="91"/>
      <c r="M102" s="91"/>
      <c r="N102" s="91"/>
      <c r="O102" s="91"/>
      <c r="P102" s="91"/>
      <c r="Q102" s="91"/>
      <c r="R102" s="91"/>
      <c r="S102" s="91"/>
      <c r="T102" s="91"/>
      <c r="U102" s="91"/>
      <c r="V102" s="91"/>
      <c r="W102" s="91"/>
    </row>
    <row r="103" spans="2:23" x14ac:dyDescent="0.25">
      <c r="B103" s="91"/>
      <c r="C103" s="91"/>
      <c r="D103" s="91"/>
      <c r="E103" s="91"/>
      <c r="F103" s="91"/>
      <c r="G103" s="91"/>
      <c r="H103" s="91"/>
      <c r="I103" s="91"/>
      <c r="J103" s="91"/>
      <c r="K103" s="91"/>
      <c r="L103" s="91"/>
      <c r="M103" s="91"/>
      <c r="N103" s="91"/>
      <c r="O103" s="91"/>
      <c r="P103" s="91"/>
      <c r="Q103" s="91"/>
      <c r="R103" s="91"/>
      <c r="S103" s="91"/>
      <c r="T103" s="91"/>
      <c r="U103" s="91"/>
      <c r="V103" s="91"/>
      <c r="W103" s="91"/>
    </row>
    <row r="104" spans="2:23" x14ac:dyDescent="0.25">
      <c r="B104" s="91"/>
      <c r="C104" s="91"/>
      <c r="D104" s="91"/>
      <c r="E104" s="91"/>
      <c r="F104" s="91"/>
      <c r="G104" s="91"/>
      <c r="H104" s="91"/>
      <c r="I104" s="91"/>
      <c r="J104" s="91"/>
      <c r="K104" s="91"/>
      <c r="L104" s="91"/>
      <c r="M104" s="91"/>
      <c r="N104" s="91"/>
      <c r="O104" s="91"/>
      <c r="P104" s="91"/>
      <c r="Q104" s="91"/>
      <c r="R104" s="91"/>
      <c r="S104" s="91"/>
      <c r="T104" s="91"/>
      <c r="U104" s="91"/>
      <c r="V104" s="91"/>
      <c r="W104" s="91"/>
    </row>
    <row r="105" spans="2:23" x14ac:dyDescent="0.25">
      <c r="B105" s="91"/>
      <c r="C105" s="91"/>
      <c r="D105" s="91"/>
      <c r="E105" s="91"/>
      <c r="F105" s="91"/>
      <c r="G105" s="91"/>
      <c r="H105" s="91"/>
      <c r="I105" s="91"/>
      <c r="J105" s="91"/>
      <c r="K105" s="91"/>
      <c r="L105" s="91"/>
      <c r="M105" s="91"/>
      <c r="N105" s="91"/>
      <c r="O105" s="91"/>
      <c r="P105" s="91"/>
      <c r="Q105" s="91"/>
      <c r="R105" s="91"/>
      <c r="S105" s="91"/>
      <c r="T105" s="91"/>
      <c r="U105" s="91"/>
      <c r="V105" s="91"/>
      <c r="W105" s="91"/>
    </row>
    <row r="106" spans="2:23" x14ac:dyDescent="0.25">
      <c r="B106" s="91"/>
      <c r="C106" s="91"/>
      <c r="D106" s="91"/>
      <c r="E106" s="91"/>
      <c r="F106" s="91"/>
      <c r="G106" s="91"/>
      <c r="H106" s="91"/>
      <c r="I106" s="91"/>
      <c r="J106" s="91"/>
      <c r="K106" s="91"/>
      <c r="L106" s="91"/>
      <c r="M106" s="91"/>
      <c r="N106" s="91"/>
      <c r="O106" s="91"/>
      <c r="P106" s="91"/>
      <c r="Q106" s="91"/>
      <c r="R106" s="91"/>
      <c r="S106" s="91"/>
      <c r="T106" s="91"/>
      <c r="U106" s="91"/>
      <c r="V106" s="91"/>
      <c r="W106" s="91"/>
    </row>
    <row r="107" spans="2:23" x14ac:dyDescent="0.25">
      <c r="B107" s="91"/>
      <c r="C107" s="91"/>
      <c r="D107" s="91"/>
      <c r="E107" s="91"/>
      <c r="F107" s="91"/>
      <c r="G107" s="91"/>
      <c r="H107" s="91"/>
      <c r="I107" s="91"/>
      <c r="J107" s="91"/>
      <c r="K107" s="91"/>
      <c r="L107" s="91"/>
      <c r="M107" s="91"/>
      <c r="N107" s="91"/>
      <c r="O107" s="91"/>
      <c r="P107" s="91"/>
      <c r="Q107" s="91"/>
      <c r="R107" s="91"/>
      <c r="S107" s="91"/>
      <c r="T107" s="91"/>
      <c r="U107" s="91"/>
      <c r="V107" s="91"/>
      <c r="W107" s="91"/>
    </row>
    <row r="108" spans="2:23" x14ac:dyDescent="0.25">
      <c r="B108" s="91"/>
      <c r="C108" s="91"/>
      <c r="D108" s="91"/>
      <c r="E108" s="91"/>
      <c r="F108" s="91"/>
      <c r="G108" s="91"/>
      <c r="H108" s="91"/>
      <c r="I108" s="91"/>
      <c r="J108" s="91"/>
      <c r="K108" s="91"/>
      <c r="L108" s="91"/>
      <c r="M108" s="91"/>
      <c r="N108" s="91"/>
      <c r="O108" s="91"/>
      <c r="P108" s="91"/>
      <c r="Q108" s="91"/>
      <c r="R108" s="91"/>
      <c r="S108" s="91"/>
      <c r="T108" s="91"/>
      <c r="U108" s="91"/>
      <c r="V108" s="91"/>
      <c r="W108" s="91"/>
    </row>
    <row r="109" spans="2:23" x14ac:dyDescent="0.25">
      <c r="B109" s="91"/>
      <c r="C109" s="91"/>
      <c r="D109" s="91"/>
      <c r="E109" s="91"/>
      <c r="F109" s="91"/>
      <c r="G109" s="91"/>
      <c r="H109" s="91"/>
      <c r="I109" s="91"/>
      <c r="J109" s="91"/>
      <c r="K109" s="91"/>
      <c r="L109" s="91"/>
      <c r="M109" s="91"/>
      <c r="N109" s="91"/>
      <c r="O109" s="91"/>
      <c r="P109" s="91"/>
      <c r="Q109" s="91"/>
      <c r="R109" s="91"/>
      <c r="S109" s="91"/>
      <c r="T109" s="91"/>
      <c r="U109" s="91"/>
      <c r="V109" s="91"/>
      <c r="W109" s="91"/>
    </row>
    <row r="110" spans="2:23" x14ac:dyDescent="0.25">
      <c r="B110" s="91"/>
      <c r="C110" s="91"/>
      <c r="D110" s="91"/>
      <c r="E110" s="91"/>
      <c r="F110" s="91"/>
      <c r="G110" s="91"/>
      <c r="H110" s="91"/>
      <c r="I110" s="91"/>
      <c r="J110" s="91"/>
      <c r="K110" s="91"/>
      <c r="L110" s="91"/>
      <c r="M110" s="91"/>
      <c r="N110" s="91"/>
      <c r="O110" s="91"/>
      <c r="P110" s="91"/>
      <c r="Q110" s="91"/>
      <c r="R110" s="91"/>
      <c r="S110" s="91"/>
      <c r="T110" s="91"/>
      <c r="U110" s="91"/>
      <c r="V110" s="91"/>
      <c r="W110" s="91"/>
    </row>
    <row r="111" spans="2:23" x14ac:dyDescent="0.25">
      <c r="B111" s="91"/>
      <c r="C111" s="91"/>
      <c r="D111" s="91"/>
      <c r="E111" s="91"/>
      <c r="F111" s="91"/>
      <c r="G111" s="91"/>
      <c r="H111" s="91"/>
      <c r="I111" s="91"/>
      <c r="J111" s="91"/>
      <c r="K111" s="91"/>
      <c r="L111" s="91"/>
      <c r="M111" s="91"/>
      <c r="N111" s="91"/>
      <c r="O111" s="91"/>
      <c r="P111" s="91"/>
      <c r="Q111" s="91"/>
      <c r="R111" s="91"/>
      <c r="S111" s="91"/>
      <c r="T111" s="91"/>
      <c r="U111" s="91"/>
      <c r="V111" s="91"/>
      <c r="W111" s="91"/>
    </row>
    <row r="112" spans="2:23" x14ac:dyDescent="0.25">
      <c r="B112" s="91"/>
      <c r="C112" s="91"/>
      <c r="D112" s="91"/>
      <c r="E112" s="91"/>
      <c r="F112" s="91"/>
      <c r="G112" s="91"/>
      <c r="H112" s="91"/>
      <c r="I112" s="91"/>
      <c r="J112" s="91"/>
      <c r="K112" s="91"/>
      <c r="L112" s="91"/>
      <c r="M112" s="91"/>
      <c r="N112" s="91"/>
      <c r="O112" s="91"/>
      <c r="P112" s="91"/>
      <c r="Q112" s="91"/>
      <c r="R112" s="91"/>
      <c r="S112" s="91"/>
      <c r="T112" s="91"/>
      <c r="U112" s="91"/>
      <c r="V112" s="91"/>
      <c r="W112" s="91"/>
    </row>
    <row r="113" spans="2:23" x14ac:dyDescent="0.25">
      <c r="B113" s="91"/>
      <c r="C113" s="91"/>
      <c r="D113" s="91"/>
      <c r="E113" s="91"/>
      <c r="F113" s="91"/>
      <c r="G113" s="91"/>
      <c r="H113" s="91"/>
      <c r="I113" s="91"/>
      <c r="J113" s="91"/>
      <c r="K113" s="91"/>
      <c r="L113" s="91"/>
      <c r="M113" s="91"/>
      <c r="N113" s="91"/>
      <c r="O113" s="91"/>
      <c r="P113" s="91"/>
      <c r="Q113" s="91"/>
      <c r="R113" s="91"/>
      <c r="S113" s="91"/>
      <c r="T113" s="91"/>
      <c r="U113" s="91"/>
      <c r="V113" s="91"/>
      <c r="W113" s="91"/>
    </row>
    <row r="114" spans="2:23" x14ac:dyDescent="0.25">
      <c r="B114" s="91"/>
      <c r="C114" s="91"/>
      <c r="D114" s="91"/>
      <c r="E114" s="91"/>
      <c r="F114" s="91"/>
      <c r="G114" s="91"/>
      <c r="H114" s="91"/>
      <c r="I114" s="91"/>
      <c r="J114" s="91"/>
      <c r="K114" s="91"/>
      <c r="L114" s="91"/>
      <c r="M114" s="91"/>
      <c r="N114" s="91"/>
      <c r="O114" s="91"/>
      <c r="P114" s="91"/>
      <c r="Q114" s="91"/>
      <c r="R114" s="91"/>
      <c r="S114" s="91"/>
      <c r="T114" s="91"/>
      <c r="U114" s="91"/>
      <c r="V114" s="91"/>
      <c r="W114" s="91"/>
    </row>
    <row r="115" spans="2:23" x14ac:dyDescent="0.25">
      <c r="B115" s="91"/>
      <c r="C115" s="91"/>
      <c r="D115" s="91"/>
      <c r="E115" s="91"/>
      <c r="F115" s="91"/>
      <c r="G115" s="91"/>
      <c r="H115" s="91"/>
      <c r="I115" s="91"/>
      <c r="J115" s="91"/>
      <c r="K115" s="91"/>
      <c r="L115" s="91"/>
      <c r="M115" s="91"/>
      <c r="N115" s="91"/>
      <c r="O115" s="91"/>
      <c r="P115" s="91"/>
      <c r="Q115" s="91"/>
      <c r="R115" s="91"/>
      <c r="S115" s="91"/>
      <c r="T115" s="91"/>
      <c r="U115" s="91"/>
      <c r="V115" s="91"/>
      <c r="W115" s="91"/>
    </row>
    <row r="116" spans="2:23" x14ac:dyDescent="0.25">
      <c r="B116" s="91"/>
      <c r="C116" s="91"/>
      <c r="D116" s="91"/>
      <c r="E116" s="91"/>
      <c r="F116" s="91"/>
      <c r="G116" s="91"/>
      <c r="H116" s="91"/>
      <c r="I116" s="91"/>
      <c r="J116" s="91"/>
      <c r="K116" s="91"/>
      <c r="L116" s="91"/>
      <c r="M116" s="91"/>
      <c r="N116" s="91"/>
      <c r="O116" s="91"/>
      <c r="P116" s="91"/>
      <c r="Q116" s="91"/>
      <c r="R116" s="91"/>
      <c r="S116" s="91"/>
      <c r="T116" s="91"/>
      <c r="U116" s="91"/>
      <c r="V116" s="91"/>
      <c r="W116" s="91"/>
    </row>
    <row r="117" spans="2:23" x14ac:dyDescent="0.25">
      <c r="B117" s="91"/>
      <c r="C117" s="91"/>
      <c r="D117" s="91"/>
      <c r="E117" s="91"/>
      <c r="F117" s="91"/>
      <c r="G117" s="91"/>
      <c r="H117" s="91"/>
      <c r="I117" s="91"/>
      <c r="J117" s="91"/>
      <c r="K117" s="91"/>
      <c r="L117" s="91"/>
      <c r="M117" s="91"/>
      <c r="N117" s="91"/>
      <c r="O117" s="91"/>
      <c r="P117" s="91"/>
      <c r="Q117" s="91"/>
      <c r="R117" s="91"/>
      <c r="S117" s="91"/>
      <c r="T117" s="91"/>
      <c r="U117" s="91"/>
      <c r="V117" s="91"/>
      <c r="W117" s="91"/>
    </row>
    <row r="118" spans="2:23" x14ac:dyDescent="0.25">
      <c r="B118" s="91"/>
      <c r="C118" s="91"/>
      <c r="D118" s="91"/>
      <c r="E118" s="91"/>
      <c r="F118" s="91"/>
      <c r="G118" s="91"/>
      <c r="H118" s="91"/>
      <c r="I118" s="91"/>
      <c r="J118" s="91"/>
      <c r="K118" s="91"/>
      <c r="L118" s="91"/>
      <c r="M118" s="91"/>
      <c r="N118" s="91"/>
      <c r="O118" s="91"/>
      <c r="P118" s="91"/>
      <c r="Q118" s="91"/>
      <c r="R118" s="91"/>
      <c r="S118" s="91"/>
      <c r="T118" s="91"/>
      <c r="U118" s="91"/>
      <c r="V118" s="91"/>
      <c r="W118" s="91"/>
    </row>
    <row r="119" spans="2:23" x14ac:dyDescent="0.25">
      <c r="B119" s="91"/>
      <c r="C119" s="91"/>
      <c r="D119" s="91"/>
      <c r="E119" s="91"/>
      <c r="F119" s="91"/>
      <c r="G119" s="91"/>
      <c r="H119" s="91"/>
      <c r="I119" s="91"/>
      <c r="J119" s="91"/>
      <c r="K119" s="91"/>
      <c r="L119" s="91"/>
      <c r="M119" s="91"/>
      <c r="N119" s="91"/>
      <c r="O119" s="91"/>
      <c r="P119" s="91"/>
      <c r="Q119" s="91"/>
      <c r="R119" s="91"/>
      <c r="S119" s="91"/>
      <c r="T119" s="91"/>
      <c r="U119" s="91"/>
      <c r="V119" s="91"/>
      <c r="W119" s="91"/>
    </row>
    <row r="120" spans="2:23" x14ac:dyDescent="0.25">
      <c r="E120" s="91"/>
      <c r="F120" s="91"/>
      <c r="G120" s="91"/>
      <c r="H120" s="91"/>
      <c r="I120" s="91"/>
      <c r="J120" s="91"/>
      <c r="K120" s="91"/>
      <c r="L120" s="91"/>
      <c r="M120" s="91"/>
      <c r="N120" s="91"/>
      <c r="O120" s="91"/>
      <c r="P120" s="91"/>
      <c r="Q120" s="91"/>
      <c r="R120" s="91"/>
      <c r="S120" s="91"/>
      <c r="T120" s="91"/>
      <c r="U120" s="91"/>
      <c r="V120" s="91"/>
      <c r="W120" s="91"/>
    </row>
    <row r="121" spans="2:23" x14ac:dyDescent="0.25">
      <c r="E121" s="91"/>
      <c r="F121" s="91"/>
      <c r="G121" s="91"/>
      <c r="H121" s="91"/>
      <c r="I121" s="91"/>
      <c r="J121" s="91"/>
      <c r="K121" s="91"/>
      <c r="L121" s="91"/>
      <c r="M121" s="91"/>
      <c r="N121" s="91"/>
      <c r="O121" s="91"/>
      <c r="P121" s="91"/>
      <c r="Q121" s="91"/>
      <c r="R121" s="91"/>
      <c r="S121" s="91"/>
      <c r="T121" s="91"/>
      <c r="U121" s="91"/>
      <c r="V121" s="91"/>
      <c r="W121" s="91"/>
    </row>
    <row r="122" spans="2:23" x14ac:dyDescent="0.25">
      <c r="E122" s="91"/>
      <c r="F122" s="91"/>
      <c r="G122" s="91"/>
      <c r="H122" s="91"/>
      <c r="I122" s="91"/>
      <c r="J122" s="91"/>
      <c r="K122" s="91"/>
      <c r="L122" s="91"/>
      <c r="M122" s="91"/>
      <c r="N122" s="91"/>
      <c r="O122" s="91"/>
      <c r="P122" s="91"/>
      <c r="Q122" s="91"/>
      <c r="R122" s="91"/>
      <c r="S122" s="91"/>
      <c r="T122" s="91"/>
      <c r="U122" s="91"/>
      <c r="V122" s="91"/>
      <c r="W122" s="91"/>
    </row>
    <row r="123" spans="2:23" x14ac:dyDescent="0.25">
      <c r="E123" s="91"/>
      <c r="F123" s="91"/>
      <c r="G123" s="91"/>
      <c r="H123" s="91"/>
      <c r="I123" s="91"/>
      <c r="J123" s="91"/>
      <c r="K123" s="91"/>
      <c r="L123" s="91"/>
      <c r="M123" s="91"/>
      <c r="N123" s="91"/>
      <c r="O123" s="91"/>
      <c r="P123" s="91"/>
      <c r="Q123" s="91"/>
      <c r="R123" s="91"/>
      <c r="S123" s="91"/>
      <c r="T123" s="91"/>
      <c r="U123" s="91"/>
      <c r="V123" s="91"/>
      <c r="W123" s="91"/>
    </row>
    <row r="124" spans="2:23" x14ac:dyDescent="0.25">
      <c r="E124" s="91"/>
      <c r="F124" s="91"/>
      <c r="G124" s="91"/>
      <c r="H124" s="91"/>
      <c r="I124" s="91"/>
      <c r="J124" s="91"/>
      <c r="K124" s="91"/>
      <c r="L124" s="91"/>
      <c r="M124" s="91"/>
      <c r="N124" s="91"/>
      <c r="O124" s="91"/>
      <c r="P124" s="91"/>
      <c r="Q124" s="91"/>
      <c r="R124" s="91"/>
      <c r="S124" s="91"/>
      <c r="T124" s="91"/>
      <c r="U124" s="91"/>
      <c r="V124" s="91"/>
      <c r="W124" s="91"/>
    </row>
    <row r="125" spans="2:23" x14ac:dyDescent="0.25">
      <c r="E125" s="91"/>
      <c r="F125" s="91"/>
      <c r="G125" s="91"/>
      <c r="H125" s="91"/>
      <c r="I125" s="91"/>
      <c r="J125" s="91"/>
      <c r="K125" s="91"/>
      <c r="L125" s="91"/>
      <c r="M125" s="91"/>
      <c r="N125" s="91"/>
      <c r="O125" s="91"/>
      <c r="P125" s="91"/>
      <c r="Q125" s="91"/>
      <c r="R125" s="91"/>
      <c r="S125" s="91"/>
      <c r="T125" s="91"/>
      <c r="U125" s="91"/>
      <c r="V125" s="91"/>
      <c r="W125" s="91"/>
    </row>
    <row r="126" spans="2:23" x14ac:dyDescent="0.25">
      <c r="E126" s="91"/>
      <c r="F126" s="91"/>
      <c r="G126" s="91"/>
      <c r="H126" s="91"/>
      <c r="I126" s="91"/>
      <c r="J126" s="91"/>
      <c r="K126" s="91"/>
      <c r="L126" s="91"/>
      <c r="M126" s="91"/>
      <c r="N126" s="91"/>
      <c r="O126" s="91"/>
      <c r="P126" s="91"/>
      <c r="Q126" s="91"/>
      <c r="R126" s="91"/>
      <c r="S126" s="91"/>
      <c r="T126" s="91"/>
      <c r="U126" s="91"/>
      <c r="V126" s="91"/>
      <c r="W126" s="91"/>
    </row>
    <row r="127" spans="2:23" x14ac:dyDescent="0.25">
      <c r="E127" s="91"/>
      <c r="F127" s="91"/>
      <c r="G127" s="91"/>
      <c r="H127" s="91"/>
      <c r="I127" s="91"/>
      <c r="J127" s="91"/>
      <c r="K127" s="91"/>
      <c r="L127" s="91"/>
      <c r="M127" s="91"/>
      <c r="N127" s="91"/>
      <c r="O127" s="91"/>
      <c r="P127" s="91"/>
      <c r="Q127" s="91"/>
      <c r="R127" s="91"/>
      <c r="S127" s="91"/>
      <c r="T127" s="91"/>
      <c r="U127" s="91"/>
      <c r="V127" s="91"/>
      <c r="W127" s="91"/>
    </row>
    <row r="128" spans="2:23" x14ac:dyDescent="0.25">
      <c r="E128" s="91"/>
      <c r="F128" s="91"/>
      <c r="G128" s="91"/>
      <c r="H128" s="91"/>
      <c r="I128" s="91"/>
      <c r="J128" s="91"/>
      <c r="K128" s="91"/>
      <c r="L128" s="91"/>
      <c r="M128" s="91"/>
      <c r="N128" s="91"/>
      <c r="O128" s="91"/>
      <c r="P128" s="91"/>
      <c r="Q128" s="91"/>
      <c r="R128" s="91"/>
      <c r="S128" s="91"/>
      <c r="T128" s="91"/>
      <c r="U128" s="91"/>
      <c r="V128" s="91"/>
      <c r="W128" s="91"/>
    </row>
    <row r="129" spans="5:23" x14ac:dyDescent="0.25">
      <c r="E129" s="91"/>
      <c r="F129" s="91"/>
      <c r="G129" s="91"/>
      <c r="H129" s="91"/>
      <c r="I129" s="91"/>
      <c r="J129" s="91"/>
      <c r="K129" s="91"/>
      <c r="L129" s="91"/>
      <c r="M129" s="91"/>
      <c r="N129" s="91"/>
      <c r="O129" s="91"/>
      <c r="P129" s="91"/>
      <c r="Q129" s="91"/>
      <c r="R129" s="91"/>
      <c r="S129" s="91"/>
      <c r="T129" s="91"/>
      <c r="U129" s="91"/>
      <c r="V129" s="91"/>
      <c r="W129" s="91"/>
    </row>
    <row r="130" spans="5:23" x14ac:dyDescent="0.25">
      <c r="E130" s="91"/>
      <c r="F130" s="91"/>
      <c r="G130" s="91"/>
      <c r="H130" s="91"/>
      <c r="I130" s="91"/>
      <c r="J130" s="91"/>
      <c r="K130" s="91"/>
      <c r="L130" s="91"/>
      <c r="M130" s="91"/>
      <c r="N130" s="91"/>
      <c r="O130" s="91"/>
      <c r="P130" s="91"/>
      <c r="Q130" s="91"/>
      <c r="R130" s="91"/>
      <c r="S130" s="91"/>
      <c r="T130" s="91"/>
      <c r="U130" s="91"/>
      <c r="V130" s="91"/>
      <c r="W130" s="91"/>
    </row>
    <row r="131" spans="5:23" x14ac:dyDescent="0.25">
      <c r="E131" s="91"/>
      <c r="F131" s="91"/>
      <c r="G131" s="91"/>
      <c r="H131" s="91"/>
      <c r="I131" s="91"/>
      <c r="J131" s="91"/>
      <c r="K131" s="91"/>
      <c r="L131" s="91"/>
      <c r="M131" s="91"/>
      <c r="N131" s="91"/>
      <c r="O131" s="91"/>
      <c r="P131" s="91"/>
      <c r="Q131" s="91"/>
      <c r="R131" s="91"/>
      <c r="S131" s="91"/>
      <c r="T131" s="91"/>
      <c r="U131" s="91"/>
      <c r="V131" s="91"/>
      <c r="W131" s="91"/>
    </row>
    <row r="132" spans="5:23" x14ac:dyDescent="0.25">
      <c r="E132" s="91"/>
      <c r="F132" s="91"/>
      <c r="G132" s="91"/>
      <c r="H132" s="91"/>
      <c r="I132" s="91"/>
      <c r="J132" s="91"/>
      <c r="K132" s="91"/>
      <c r="L132" s="91"/>
      <c r="M132" s="91"/>
      <c r="N132" s="91"/>
      <c r="O132" s="91"/>
      <c r="P132" s="91"/>
      <c r="Q132" s="91"/>
      <c r="R132" s="91"/>
      <c r="S132" s="91"/>
      <c r="T132" s="91"/>
      <c r="U132" s="91"/>
      <c r="V132" s="91"/>
      <c r="W132" s="91"/>
    </row>
    <row r="133" spans="5:23" x14ac:dyDescent="0.25">
      <c r="E133" s="91"/>
      <c r="F133" s="91"/>
      <c r="G133" s="91"/>
      <c r="H133" s="91"/>
      <c r="I133" s="91"/>
      <c r="J133" s="91"/>
      <c r="K133" s="91"/>
      <c r="L133" s="91"/>
      <c r="M133" s="91"/>
      <c r="N133" s="91"/>
      <c r="O133" s="91"/>
      <c r="P133" s="91"/>
      <c r="Q133" s="91"/>
      <c r="R133" s="91"/>
      <c r="S133" s="91"/>
      <c r="T133" s="91"/>
      <c r="U133" s="91"/>
      <c r="V133" s="91"/>
      <c r="W133" s="91"/>
    </row>
    <row r="134" spans="5:23" x14ac:dyDescent="0.25">
      <c r="E134" s="91"/>
      <c r="F134" s="91"/>
      <c r="G134" s="91"/>
      <c r="H134" s="91"/>
      <c r="I134" s="91"/>
      <c r="J134" s="91"/>
      <c r="K134" s="91"/>
      <c r="L134" s="91"/>
      <c r="M134" s="91"/>
      <c r="N134" s="91"/>
      <c r="O134" s="91"/>
      <c r="P134" s="91"/>
      <c r="Q134" s="91"/>
      <c r="R134" s="91"/>
      <c r="S134" s="91"/>
      <c r="T134" s="91"/>
      <c r="U134" s="91"/>
      <c r="V134" s="91"/>
      <c r="W134" s="91"/>
    </row>
    <row r="135" spans="5:23" x14ac:dyDescent="0.25">
      <c r="E135" s="91"/>
      <c r="F135" s="91"/>
      <c r="G135" s="91"/>
      <c r="H135" s="91"/>
      <c r="I135" s="91"/>
      <c r="J135" s="91"/>
      <c r="K135" s="91"/>
      <c r="L135" s="91"/>
      <c r="M135" s="91"/>
      <c r="N135" s="91"/>
      <c r="O135" s="91"/>
      <c r="P135" s="91"/>
      <c r="Q135" s="91"/>
      <c r="R135" s="91"/>
      <c r="S135" s="91"/>
      <c r="T135" s="91"/>
      <c r="U135" s="91"/>
      <c r="V135" s="91"/>
      <c r="W135" s="91"/>
    </row>
    <row r="136" spans="5:23" x14ac:dyDescent="0.25">
      <c r="E136" s="91"/>
      <c r="F136" s="91"/>
      <c r="G136" s="91"/>
      <c r="H136" s="91"/>
      <c r="I136" s="91"/>
      <c r="J136" s="91"/>
      <c r="K136" s="91"/>
      <c r="L136" s="91"/>
      <c r="M136" s="91"/>
      <c r="N136" s="91"/>
      <c r="O136" s="91"/>
      <c r="P136" s="91"/>
      <c r="Q136" s="91"/>
      <c r="R136" s="91"/>
      <c r="S136" s="91"/>
      <c r="T136" s="91"/>
      <c r="U136" s="91"/>
      <c r="V136" s="91"/>
      <c r="W136" s="91"/>
    </row>
    <row r="137" spans="5:23" x14ac:dyDescent="0.25">
      <c r="E137" s="91"/>
      <c r="F137" s="91"/>
      <c r="G137" s="91"/>
      <c r="H137" s="91"/>
      <c r="I137" s="91"/>
      <c r="J137" s="91"/>
      <c r="K137" s="91"/>
      <c r="L137" s="91"/>
      <c r="M137" s="91"/>
      <c r="N137" s="91"/>
      <c r="O137" s="91"/>
      <c r="P137" s="91"/>
      <c r="Q137" s="91"/>
      <c r="R137" s="91"/>
      <c r="S137" s="91"/>
      <c r="T137" s="91"/>
      <c r="U137" s="91"/>
      <c r="V137" s="91"/>
      <c r="W137" s="91"/>
    </row>
    <row r="138" spans="5:23" x14ac:dyDescent="0.25">
      <c r="E138" s="91"/>
      <c r="F138" s="91"/>
      <c r="G138" s="91"/>
      <c r="H138" s="91"/>
      <c r="I138" s="91"/>
      <c r="J138" s="91"/>
      <c r="K138" s="91"/>
      <c r="L138" s="91"/>
      <c r="M138" s="91"/>
      <c r="N138" s="91"/>
      <c r="O138" s="91"/>
      <c r="P138" s="91"/>
      <c r="Q138" s="91"/>
      <c r="R138" s="91"/>
      <c r="S138" s="91"/>
      <c r="T138" s="91"/>
      <c r="U138" s="91"/>
      <c r="V138" s="91"/>
      <c r="W138" s="91"/>
    </row>
    <row r="139" spans="5:23" x14ac:dyDescent="0.25">
      <c r="E139" s="91"/>
      <c r="F139" s="91"/>
      <c r="G139" s="91"/>
      <c r="H139" s="91"/>
      <c r="I139" s="91"/>
      <c r="J139" s="91"/>
      <c r="K139" s="91"/>
      <c r="L139" s="91"/>
      <c r="M139" s="91"/>
      <c r="N139" s="91"/>
      <c r="O139" s="91"/>
      <c r="P139" s="91"/>
      <c r="Q139" s="91"/>
      <c r="R139" s="91"/>
      <c r="S139" s="91"/>
      <c r="T139" s="91"/>
      <c r="U139" s="91"/>
      <c r="V139" s="91"/>
      <c r="W139" s="91"/>
    </row>
    <row r="140" spans="5:23" x14ac:dyDescent="0.25">
      <c r="E140" s="91"/>
      <c r="F140" s="91"/>
      <c r="G140" s="91"/>
      <c r="H140" s="91"/>
      <c r="I140" s="91"/>
      <c r="J140" s="91"/>
      <c r="K140" s="91"/>
      <c r="L140" s="91"/>
      <c r="M140" s="91"/>
      <c r="N140" s="91"/>
      <c r="O140" s="91"/>
      <c r="P140" s="91"/>
      <c r="Q140" s="91"/>
      <c r="R140" s="91"/>
      <c r="S140" s="91"/>
      <c r="T140" s="91"/>
      <c r="U140" s="91"/>
      <c r="V140" s="91"/>
      <c r="W140" s="91"/>
    </row>
    <row r="141" spans="5:23" x14ac:dyDescent="0.25">
      <c r="E141" s="91"/>
      <c r="F141" s="91"/>
      <c r="G141" s="91"/>
      <c r="H141" s="91"/>
      <c r="I141" s="91"/>
      <c r="J141" s="91"/>
      <c r="K141" s="91"/>
      <c r="L141" s="91"/>
      <c r="M141" s="91"/>
      <c r="N141" s="91"/>
      <c r="O141" s="91"/>
      <c r="P141" s="91"/>
      <c r="Q141" s="91"/>
      <c r="R141" s="91"/>
      <c r="S141" s="91"/>
      <c r="T141" s="91"/>
      <c r="U141" s="91"/>
      <c r="V141" s="91"/>
      <c r="W141" s="91"/>
    </row>
    <row r="142" spans="5:23" x14ac:dyDescent="0.25">
      <c r="E142" s="91"/>
      <c r="F142" s="91"/>
      <c r="G142" s="91"/>
      <c r="H142" s="91"/>
      <c r="I142" s="91"/>
      <c r="J142" s="91"/>
      <c r="K142" s="91"/>
      <c r="L142" s="91"/>
      <c r="M142" s="91"/>
      <c r="N142" s="91"/>
      <c r="O142" s="91"/>
      <c r="P142" s="91"/>
      <c r="Q142" s="91"/>
      <c r="R142" s="91"/>
      <c r="S142" s="91"/>
      <c r="T142" s="91"/>
      <c r="U142" s="91"/>
      <c r="V142" s="91"/>
      <c r="W142" s="91"/>
    </row>
    <row r="143" spans="5:23" x14ac:dyDescent="0.25">
      <c r="E143" s="91"/>
      <c r="F143" s="91"/>
      <c r="G143" s="91"/>
      <c r="H143" s="91"/>
      <c r="I143" s="91"/>
      <c r="J143" s="91"/>
      <c r="K143" s="91"/>
      <c r="L143" s="91"/>
      <c r="M143" s="91"/>
      <c r="N143" s="91"/>
      <c r="O143" s="91"/>
      <c r="P143" s="91"/>
      <c r="Q143" s="91"/>
      <c r="R143" s="91"/>
      <c r="S143" s="91"/>
      <c r="T143" s="91"/>
      <c r="U143" s="91"/>
      <c r="V143" s="91"/>
      <c r="W143" s="91"/>
    </row>
    <row r="144" spans="5:23" x14ac:dyDescent="0.25">
      <c r="E144" s="91"/>
      <c r="F144" s="91"/>
      <c r="G144" s="91"/>
      <c r="H144" s="91"/>
      <c r="I144" s="91"/>
      <c r="J144" s="91"/>
      <c r="K144" s="91"/>
      <c r="L144" s="91"/>
      <c r="M144" s="91"/>
      <c r="N144" s="91"/>
      <c r="O144" s="91"/>
      <c r="P144" s="91"/>
      <c r="Q144" s="91"/>
      <c r="R144" s="91"/>
      <c r="S144" s="91"/>
      <c r="T144" s="91"/>
      <c r="U144" s="91"/>
      <c r="V144" s="91"/>
      <c r="W144" s="91"/>
    </row>
    <row r="145" spans="5:23" x14ac:dyDescent="0.25">
      <c r="E145" s="91"/>
      <c r="F145" s="91"/>
      <c r="G145" s="91"/>
      <c r="H145" s="91"/>
      <c r="I145" s="91"/>
      <c r="J145" s="91"/>
      <c r="K145" s="91"/>
      <c r="L145" s="91"/>
      <c r="M145" s="91"/>
      <c r="N145" s="91"/>
      <c r="O145" s="91"/>
      <c r="P145" s="91"/>
      <c r="Q145" s="91"/>
      <c r="R145" s="91"/>
      <c r="S145" s="91"/>
      <c r="T145" s="91"/>
      <c r="U145" s="91"/>
      <c r="V145" s="91"/>
      <c r="W145" s="91"/>
    </row>
    <row r="146" spans="5:23" x14ac:dyDescent="0.25">
      <c r="E146" s="91"/>
      <c r="F146" s="91"/>
      <c r="G146" s="91"/>
      <c r="H146" s="91"/>
      <c r="I146" s="91"/>
      <c r="J146" s="91"/>
      <c r="K146" s="91"/>
      <c r="L146" s="91"/>
      <c r="M146" s="91"/>
      <c r="N146" s="91"/>
      <c r="O146" s="91"/>
      <c r="P146" s="91"/>
      <c r="Q146" s="91"/>
      <c r="R146" s="91"/>
      <c r="S146" s="91"/>
      <c r="T146" s="91"/>
      <c r="U146" s="91"/>
      <c r="V146" s="91"/>
      <c r="W146" s="91"/>
    </row>
    <row r="147" spans="5:23" x14ac:dyDescent="0.25">
      <c r="E147" s="91"/>
      <c r="F147" s="91"/>
      <c r="G147" s="91"/>
      <c r="H147" s="91"/>
      <c r="I147" s="91"/>
      <c r="J147" s="91"/>
      <c r="K147" s="91"/>
      <c r="L147" s="91"/>
      <c r="M147" s="91"/>
      <c r="N147" s="91"/>
      <c r="O147" s="91"/>
      <c r="P147" s="91"/>
      <c r="Q147" s="91"/>
      <c r="R147" s="91"/>
      <c r="S147" s="91"/>
      <c r="T147" s="91"/>
      <c r="U147" s="91"/>
      <c r="V147" s="91"/>
      <c r="W147" s="91"/>
    </row>
    <row r="148" spans="5:23" x14ac:dyDescent="0.25">
      <c r="E148" s="91"/>
      <c r="F148" s="91"/>
      <c r="G148" s="91"/>
      <c r="H148" s="91"/>
      <c r="I148" s="91"/>
      <c r="J148" s="91"/>
      <c r="K148" s="91"/>
      <c r="L148" s="91"/>
      <c r="M148" s="91"/>
      <c r="N148" s="91"/>
      <c r="O148" s="91"/>
      <c r="P148" s="91"/>
      <c r="Q148" s="91"/>
      <c r="R148" s="91"/>
      <c r="S148" s="91"/>
      <c r="T148" s="91"/>
      <c r="U148" s="91"/>
      <c r="V148" s="91"/>
      <c r="W148" s="91"/>
    </row>
    <row r="149" spans="5:23" x14ac:dyDescent="0.25">
      <c r="E149" s="91"/>
      <c r="F149" s="91"/>
      <c r="G149" s="91"/>
      <c r="H149" s="91"/>
      <c r="I149" s="91"/>
      <c r="J149" s="91"/>
      <c r="K149" s="91"/>
      <c r="L149" s="91"/>
      <c r="M149" s="91"/>
      <c r="N149" s="91"/>
      <c r="O149" s="91"/>
      <c r="P149" s="91"/>
      <c r="Q149" s="91"/>
      <c r="R149" s="91"/>
      <c r="S149" s="91"/>
      <c r="T149" s="91"/>
      <c r="U149" s="91"/>
      <c r="V149" s="91"/>
      <c r="W149" s="91"/>
    </row>
    <row r="150" spans="5:23" x14ac:dyDescent="0.25">
      <c r="E150" s="91"/>
      <c r="F150" s="91"/>
      <c r="G150" s="91"/>
      <c r="H150" s="91"/>
      <c r="I150" s="91"/>
      <c r="J150" s="91"/>
      <c r="K150" s="91"/>
      <c r="L150" s="91"/>
      <c r="M150" s="91"/>
      <c r="N150" s="91"/>
      <c r="O150" s="91"/>
      <c r="P150" s="91"/>
      <c r="Q150" s="91"/>
      <c r="R150" s="91"/>
      <c r="S150" s="91"/>
      <c r="T150" s="91"/>
      <c r="U150" s="91"/>
      <c r="V150" s="91"/>
      <c r="W150" s="91"/>
    </row>
  </sheetData>
  <mergeCells count="2">
    <mergeCell ref="B1:D2"/>
    <mergeCell ref="H1:I2"/>
  </mergeCells>
  <pageMargins left="0.7" right="0.7" top="0.75" bottom="0.75" header="0.3" footer="0.3"/>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70C0"/>
  </sheetPr>
  <dimension ref="A1:AG69"/>
  <sheetViews>
    <sheetView tabSelected="1" zoomScale="85" zoomScaleNormal="85" workbookViewId="0">
      <pane xSplit="3" topLeftCell="D1" activePane="topRight" state="frozen"/>
      <selection activeCell="A3" sqref="A3"/>
      <selection pane="topRight" activeCell="D12" sqref="D12"/>
    </sheetView>
  </sheetViews>
  <sheetFormatPr defaultRowHeight="15" x14ac:dyDescent="0.25"/>
  <cols>
    <col min="1" max="1" width="23.5703125" customWidth="1"/>
    <col min="2" max="2" width="15.28515625" customWidth="1"/>
    <col min="4" max="4" width="17.5703125" customWidth="1"/>
    <col min="5" max="5" width="22.5703125" customWidth="1"/>
    <col min="6" max="6" width="20.42578125" bestFit="1" customWidth="1"/>
    <col min="7" max="7" width="17.7109375" customWidth="1"/>
    <col min="8" max="8" width="17.28515625" customWidth="1"/>
    <col min="9" max="9" width="14.28515625" bestFit="1" customWidth="1"/>
    <col min="10" max="10" width="22.28515625" bestFit="1" customWidth="1"/>
    <col min="11" max="11" width="22.28515625" customWidth="1"/>
    <col min="12" max="12" width="21" customWidth="1"/>
    <col min="13" max="13" width="21.7109375" bestFit="1" customWidth="1"/>
    <col min="14" max="14" width="15.28515625" customWidth="1"/>
    <col min="15" max="15" width="16.5703125" bestFit="1" customWidth="1"/>
    <col min="16" max="16" width="24.28515625" customWidth="1"/>
    <col min="17" max="17" width="21.140625" customWidth="1"/>
    <col min="18" max="18" width="14.28515625" bestFit="1" customWidth="1"/>
    <col min="19" max="19" width="13" customWidth="1"/>
    <col min="20" max="20" width="19.7109375" customWidth="1"/>
    <col min="22" max="22" width="16.85546875" bestFit="1" customWidth="1"/>
    <col min="23" max="23" width="10.85546875" bestFit="1" customWidth="1"/>
    <col min="24" max="24" width="13.7109375" bestFit="1" customWidth="1"/>
    <col min="25" max="25" width="24.85546875" customWidth="1"/>
    <col min="26" max="26" width="14.7109375" customWidth="1"/>
    <col min="27" max="27" width="10.42578125" customWidth="1"/>
    <col min="28" max="28" width="13.85546875" customWidth="1"/>
    <col min="29" max="29" width="10.85546875" customWidth="1"/>
    <col min="30" max="30" width="12.85546875" bestFit="1" customWidth="1"/>
    <col min="31" max="31" width="15.28515625" customWidth="1"/>
    <col min="32" max="32" width="17.140625" bestFit="1" customWidth="1"/>
    <col min="33" max="33" width="13.28515625" customWidth="1"/>
  </cols>
  <sheetData>
    <row r="1" spans="1:33" x14ac:dyDescent="0.25">
      <c r="G1" s="66" t="s">
        <v>0</v>
      </c>
      <c r="H1" s="67"/>
      <c r="I1" s="67"/>
      <c r="J1" s="66" t="s">
        <v>1</v>
      </c>
      <c r="K1" s="67"/>
      <c r="L1" s="68"/>
    </row>
    <row r="2" spans="1:33" x14ac:dyDescent="0.25">
      <c r="G2" s="69" t="s">
        <v>2</v>
      </c>
      <c r="H2" s="65" t="s">
        <v>3</v>
      </c>
      <c r="I2" s="65" t="s">
        <v>4</v>
      </c>
      <c r="J2" s="69" t="s">
        <v>2</v>
      </c>
      <c r="K2" s="65" t="s">
        <v>3</v>
      </c>
      <c r="L2" s="70" t="s">
        <v>4</v>
      </c>
    </row>
    <row r="3" spans="1:33" x14ac:dyDescent="0.25">
      <c r="G3" s="69">
        <v>0</v>
      </c>
      <c r="H3" s="65">
        <v>0.25</v>
      </c>
      <c r="I3" s="65">
        <v>0.5</v>
      </c>
      <c r="J3" s="69">
        <v>0</v>
      </c>
      <c r="K3" s="65">
        <v>0.03</v>
      </c>
      <c r="L3" s="70">
        <v>2</v>
      </c>
    </row>
    <row r="4" spans="1:33" x14ac:dyDescent="0.25">
      <c r="G4" s="69">
        <v>0.26</v>
      </c>
      <c r="H4" s="65">
        <v>0.5</v>
      </c>
      <c r="I4" s="65">
        <v>1</v>
      </c>
      <c r="J4" s="69">
        <v>3.1E-2</v>
      </c>
      <c r="K4" s="65">
        <v>0.06</v>
      </c>
      <c r="L4" s="70">
        <v>3</v>
      </c>
    </row>
    <row r="5" spans="1:33" x14ac:dyDescent="0.25">
      <c r="G5" s="69">
        <v>0.61</v>
      </c>
      <c r="H5" s="65">
        <v>0.7</v>
      </c>
      <c r="I5" s="65">
        <v>1.5</v>
      </c>
      <c r="J5" s="69">
        <v>6.0999999999999999E-2</v>
      </c>
      <c r="K5" s="65">
        <v>0.12</v>
      </c>
      <c r="L5" s="70">
        <v>5</v>
      </c>
    </row>
    <row r="6" spans="1:33" x14ac:dyDescent="0.25">
      <c r="G6" s="69">
        <v>0.71</v>
      </c>
      <c r="H6" s="65">
        <v>0.8</v>
      </c>
      <c r="I6" s="65">
        <v>2</v>
      </c>
      <c r="J6" s="69">
        <v>0.121</v>
      </c>
      <c r="K6" s="65">
        <v>0.18</v>
      </c>
      <c r="L6" s="70">
        <v>8</v>
      </c>
    </row>
    <row r="7" spans="1:33" x14ac:dyDescent="0.25">
      <c r="G7" s="69">
        <v>0.81</v>
      </c>
      <c r="H7" s="65">
        <v>0.9</v>
      </c>
      <c r="I7" s="65">
        <v>2.5</v>
      </c>
      <c r="J7" s="69">
        <v>0.18099999999999999</v>
      </c>
      <c r="K7" s="65">
        <v>0.2</v>
      </c>
      <c r="L7" s="70">
        <v>9</v>
      </c>
    </row>
    <row r="8" spans="1:33" x14ac:dyDescent="0.25">
      <c r="G8" s="69">
        <v>0.91</v>
      </c>
      <c r="H8" s="65">
        <v>1</v>
      </c>
      <c r="I8" s="65">
        <v>3</v>
      </c>
      <c r="J8" s="71">
        <v>0.21</v>
      </c>
      <c r="K8" s="72">
        <v>1</v>
      </c>
      <c r="L8" s="73">
        <v>10</v>
      </c>
    </row>
    <row r="9" spans="1:33" x14ac:dyDescent="0.25">
      <c r="G9" s="69">
        <v>1.01</v>
      </c>
      <c r="H9" s="65">
        <v>1.25</v>
      </c>
      <c r="I9" s="70">
        <v>7</v>
      </c>
    </row>
    <row r="10" spans="1:33" x14ac:dyDescent="0.25">
      <c r="G10" s="69">
        <v>1.26</v>
      </c>
      <c r="H10" s="65">
        <v>1.5</v>
      </c>
      <c r="I10" s="70">
        <v>8</v>
      </c>
    </row>
    <row r="11" spans="1:33" x14ac:dyDescent="0.25">
      <c r="G11" s="69">
        <v>1.51</v>
      </c>
      <c r="H11" s="65">
        <v>1.75</v>
      </c>
      <c r="I11" s="70">
        <v>9</v>
      </c>
    </row>
    <row r="12" spans="1:33" x14ac:dyDescent="0.25">
      <c r="G12" s="71">
        <v>1.76</v>
      </c>
      <c r="H12" s="72">
        <v>2</v>
      </c>
      <c r="I12" s="73">
        <v>10</v>
      </c>
    </row>
    <row r="14" spans="1:33" x14ac:dyDescent="0.25">
      <c r="E14" s="89"/>
      <c r="G14" s="90"/>
      <c r="H14" s="89"/>
      <c r="I14" s="90"/>
      <c r="M14" s="89"/>
      <c r="O14" s="90"/>
      <c r="Q14" s="89"/>
      <c r="S14" s="90"/>
      <c r="V14" s="89"/>
      <c r="X14" s="90"/>
      <c r="Z14" s="89"/>
      <c r="AB14" s="90"/>
      <c r="AD14" s="89"/>
      <c r="AF14" s="90"/>
    </row>
    <row r="15" spans="1:33" s="63" customFormat="1" ht="60" x14ac:dyDescent="0.25">
      <c r="A15" s="85" t="s">
        <v>144</v>
      </c>
      <c r="B15" s="84" t="s">
        <v>145</v>
      </c>
      <c r="C15" s="63" t="s">
        <v>5</v>
      </c>
      <c r="D15" s="63" t="s">
        <v>6</v>
      </c>
      <c r="E15" s="63" t="s">
        <v>237</v>
      </c>
      <c r="F15" s="63" t="s">
        <v>7</v>
      </c>
      <c r="G15" s="63" t="s">
        <v>238</v>
      </c>
      <c r="H15" s="63" t="s">
        <v>239</v>
      </c>
      <c r="I15" s="63" t="s">
        <v>240</v>
      </c>
      <c r="J15" s="63" t="s">
        <v>8</v>
      </c>
      <c r="K15" s="63" t="s">
        <v>9</v>
      </c>
      <c r="L15" s="64" t="s">
        <v>10</v>
      </c>
      <c r="M15" s="64" t="s">
        <v>241</v>
      </c>
      <c r="N15" s="64" t="s">
        <v>142</v>
      </c>
      <c r="O15" s="64" t="s">
        <v>242</v>
      </c>
      <c r="P15" s="64" t="s">
        <v>191</v>
      </c>
      <c r="Q15" s="64" t="s">
        <v>243</v>
      </c>
      <c r="R15" s="64" t="s">
        <v>11</v>
      </c>
      <c r="S15" s="64" t="s">
        <v>244</v>
      </c>
      <c r="T15" s="64" t="s">
        <v>12</v>
      </c>
      <c r="U15" s="64" t="s">
        <v>13</v>
      </c>
      <c r="V15" s="64" t="s">
        <v>245</v>
      </c>
      <c r="W15" s="64" t="s">
        <v>14</v>
      </c>
      <c r="X15" s="64" t="s">
        <v>246</v>
      </c>
      <c r="Y15" s="64" t="s">
        <v>15</v>
      </c>
      <c r="Z15" s="64" t="s">
        <v>247</v>
      </c>
      <c r="AA15" s="64" t="s">
        <v>16</v>
      </c>
      <c r="AB15" s="64" t="s">
        <v>248</v>
      </c>
      <c r="AC15" s="64" t="s">
        <v>17</v>
      </c>
      <c r="AD15" s="64" t="s">
        <v>249</v>
      </c>
      <c r="AE15" s="64" t="s">
        <v>141</v>
      </c>
      <c r="AF15" s="64" t="s">
        <v>250</v>
      </c>
      <c r="AG15" s="63" t="s">
        <v>143</v>
      </c>
    </row>
    <row r="16" spans="1:33" x14ac:dyDescent="0.25">
      <c r="A16" s="63"/>
      <c r="C16" s="36" t="s">
        <v>62</v>
      </c>
      <c r="D16" s="41">
        <v>731545</v>
      </c>
      <c r="E16" s="75"/>
      <c r="F16" s="41">
        <f>Table1[[#This Row],[Social Index Current]]-Table1[[#This Row],[SD Past]]</f>
        <v>-27</v>
      </c>
      <c r="G16" s="75">
        <v>27</v>
      </c>
      <c r="H16" s="88">
        <v>1.11507690436655</v>
      </c>
      <c r="I16" s="88">
        <v>1.11507690436655</v>
      </c>
      <c r="J16" s="36">
        <f>Table1[[#This Row],[Rt Current]]-Table1[[#This Row],[Rt Past]]</f>
        <v>0</v>
      </c>
      <c r="K16" s="36">
        <f>VLOOKUP(Table1[[#This Row],[Rt Current]],$G$3:$I$12,3)*5</f>
        <v>35</v>
      </c>
      <c r="L16" s="36">
        <v>274.84210526315792</v>
      </c>
      <c r="M16" s="88">
        <v>858</v>
      </c>
      <c r="N16">
        <f>Table1[[#This Row],[Increase in Pos Tests Past]]-Table1[[#This Row],[Test Increase Current]]</f>
        <v>0</v>
      </c>
      <c r="O16" s="88">
        <v>858</v>
      </c>
      <c r="P16" s="23">
        <f>Table1[[#This Row],[Test Increase Current]]/Table1[[#This Row],[Population]]*100000</f>
        <v>117.28601794831486</v>
      </c>
      <c r="Q16" s="77">
        <v>2.2321080152969641E-2</v>
      </c>
      <c r="R16" s="78">
        <f>Table1[[#This Row],[TPR Current]]-Table1[[#This Row],[TPR Past]]</f>
        <v>0</v>
      </c>
      <c r="S16" s="77">
        <v>2.2321080152969641E-2</v>
      </c>
      <c r="T16" s="43">
        <f>VLOOKUP(Table1[[#This Row],[TPR Current]],$J$3:$L$8,3)*5</f>
        <v>10</v>
      </c>
      <c r="U16" s="43">
        <f>SUM(Table1[[#This Row],[Stratified Test Positive Rate]]+Table1[[#This Row],[Stratified Rt]])</f>
        <v>45</v>
      </c>
      <c r="V16" s="88">
        <v>4</v>
      </c>
      <c r="W16" s="36">
        <f>Table1[[#This Row],[Weekly Deaths Current]]-Table1[[#This Row],[Weekly Deaths Past]]</f>
        <v>0</v>
      </c>
      <c r="X16" s="88">
        <v>4</v>
      </c>
      <c r="Y16" s="44">
        <v>1E-4</v>
      </c>
      <c r="Z16" s="88">
        <v>25</v>
      </c>
      <c r="AA16" s="36">
        <f>Table1[[#This Row],[Total Deaths Current]]-Table1[[#This Row],[Total Deaths Past]]</f>
        <v>0</v>
      </c>
      <c r="AB16" s="88">
        <v>25</v>
      </c>
      <c r="AC16" s="49">
        <f>Table1[[#This Row],[Total Deaths Current]]/Table1[[#This Row],[Population]]*100000</f>
        <v>3.4174247653937901</v>
      </c>
      <c r="AD16" s="88">
        <v>38439</v>
      </c>
      <c r="AE16">
        <f>Table1[[#This Row],[Total Tests Current]]-Table1[[#This Row],[Total Tests Past]]</f>
        <v>0</v>
      </c>
      <c r="AF16" s="88">
        <v>38439</v>
      </c>
      <c r="AG16" s="74">
        <f>(Table1[[#This Row],[Total Tests Current]]/Table1[[#This Row],[Population]])*100000</f>
        <v>5254.495622278876</v>
      </c>
    </row>
    <row r="17" spans="1:33" x14ac:dyDescent="0.25">
      <c r="A17" t="s">
        <v>168</v>
      </c>
      <c r="C17" s="36" t="s">
        <v>207</v>
      </c>
      <c r="D17" s="41">
        <v>4903185</v>
      </c>
      <c r="E17" s="75"/>
      <c r="F17" s="41">
        <f>Table1[[#This Row],[Social Index Current]]-Table1[[#This Row],[SD Past]]</f>
        <v>-29</v>
      </c>
      <c r="G17" s="75">
        <v>29</v>
      </c>
      <c r="H17" s="88">
        <v>1.11194417762822</v>
      </c>
      <c r="I17" s="88">
        <v>1.11194417762822</v>
      </c>
      <c r="J17" s="36">
        <f>Table1[[#This Row],[Rt Current]]-Table1[[#This Row],[Rt Past]]</f>
        <v>0</v>
      </c>
      <c r="K17" s="36">
        <f>VLOOKUP(Table1[[#This Row],[Rt Current]],$G$3:$I$12,3)*5</f>
        <v>35</v>
      </c>
      <c r="L17" s="36">
        <v>14.889302820649281</v>
      </c>
      <c r="M17" s="88">
        <v>11546</v>
      </c>
      <c r="N17">
        <f>Table1[[#This Row],[Increase in Pos Tests Past]]-Table1[[#This Row],[Test Increase Current]]</f>
        <v>0</v>
      </c>
      <c r="O17" s="88">
        <v>11546</v>
      </c>
      <c r="P17" s="23">
        <f>Table1[[#This Row],[Test Increase Current]]/Table1[[#This Row],[Population]]*100000</f>
        <v>235.47959132686202</v>
      </c>
      <c r="Q17" s="77">
        <v>0.20584040504884832</v>
      </c>
      <c r="R17" s="78">
        <f>Table1[[#This Row],[TPR Current]]-Table1[[#This Row],[TPR Past]]</f>
        <v>0</v>
      </c>
      <c r="S17" s="77">
        <v>0.20584040504884832</v>
      </c>
      <c r="T17" s="43">
        <f>VLOOKUP(Table1[[#This Row],[TPR Current]],$J$3:$L$8,3)*5</f>
        <v>45</v>
      </c>
      <c r="U17" s="43">
        <f>SUM(Table1[[#This Row],[Stratified Test Positive Rate]]+Table1[[#This Row],[Stratified Rt]])</f>
        <v>80</v>
      </c>
      <c r="V17" s="88">
        <v>142</v>
      </c>
      <c r="W17" s="36">
        <f>Table1[[#This Row],[Weekly Deaths Current]]-Table1[[#This Row],[Weekly Deaths Past]]</f>
        <v>0</v>
      </c>
      <c r="X17" s="88">
        <v>142</v>
      </c>
      <c r="Y17" s="44">
        <f>Table1[[#This Row],[Weekly Deaths Current]]/Table1[[#This Row],[Population]]*100000</f>
        <v>2.8960767337965017</v>
      </c>
      <c r="Z17" s="88">
        <v>1633</v>
      </c>
      <c r="AA17" s="36">
        <f>Table1[[#This Row],[Total Deaths Current]]-Table1[[#This Row],[Total Deaths Past]]</f>
        <v>0</v>
      </c>
      <c r="AB17" s="88">
        <v>1633</v>
      </c>
      <c r="AC17" s="49">
        <f>Table1[[#This Row],[Total Deaths Current]]/Table1[[#This Row],[Population]]*100000</f>
        <v>33.304882438659767</v>
      </c>
      <c r="AD17" s="88">
        <v>56092</v>
      </c>
      <c r="AE17">
        <f>Table1[[#This Row],[Total Tests Current]]-Table1[[#This Row],[Total Tests Past]]</f>
        <v>0</v>
      </c>
      <c r="AF17" s="88">
        <v>56092</v>
      </c>
      <c r="AG17" s="74">
        <f>(Table1[[#This Row],[Total Tests Current]]/Table1[[#This Row],[Population]])*100000</f>
        <v>1143.9910996627702</v>
      </c>
    </row>
    <row r="18" spans="1:33" x14ac:dyDescent="0.25">
      <c r="A18" t="s">
        <v>169</v>
      </c>
      <c r="B18" t="s">
        <v>146</v>
      </c>
      <c r="C18" s="25" t="s">
        <v>206</v>
      </c>
      <c r="D18" s="28">
        <v>3017804</v>
      </c>
      <c r="E18" s="75"/>
      <c r="F18" s="54">
        <f>Table1[[#This Row],[Social Index Current]]-Table1[[#This Row],[SD Past]]</f>
        <v>-26</v>
      </c>
      <c r="G18" s="75">
        <v>26</v>
      </c>
      <c r="H18" s="88">
        <v>1.0370651420877299</v>
      </c>
      <c r="I18" s="88">
        <v>1.0370651420877299</v>
      </c>
      <c r="J18" s="25">
        <f>Table1[[#This Row],[Rt Current]]-Table1[[#This Row],[Rt Past]]</f>
        <v>0</v>
      </c>
      <c r="K18" s="25">
        <f>VLOOKUP(Table1[[#This Row],[Rt Current]],$G$3:$I$12,3)*5</f>
        <v>35</v>
      </c>
      <c r="L18" s="25">
        <v>32.629213483146067</v>
      </c>
      <c r="M18" s="88">
        <v>5150</v>
      </c>
      <c r="N18">
        <f>Table1[[#This Row],[Increase in Pos Tests Past]]-Table1[[#This Row],[Test Increase Current]]</f>
        <v>0</v>
      </c>
      <c r="O18" s="88">
        <v>5150</v>
      </c>
      <c r="P18" s="25">
        <f>Table1[[#This Row],[Test Increase Current]]/Table1[[#This Row],[Population]]*100000</f>
        <v>170.65389269813414</v>
      </c>
      <c r="Q18" s="77">
        <v>0.12115081512150368</v>
      </c>
      <c r="R18" s="78">
        <f>Table1[[#This Row],[TPR Current]]-Table1[[#This Row],[TPR Past]]</f>
        <v>0</v>
      </c>
      <c r="S18" s="77">
        <v>0.12115081512150368</v>
      </c>
      <c r="T18" s="25">
        <f>VLOOKUP(Table1[[#This Row],[TPR Current]],$J$3:$L$8,3)*5</f>
        <v>40</v>
      </c>
      <c r="U18" s="25">
        <f>SUM(Table1[[#This Row],[Stratified Test Positive Rate]]+Table1[[#This Row],[Stratified Rt]])</f>
        <v>75</v>
      </c>
      <c r="V18" s="88">
        <v>67</v>
      </c>
      <c r="W18" s="36">
        <f>Table1[[#This Row],[Weekly Deaths Current]]-Table1[[#This Row],[Weekly Deaths Past]]</f>
        <v>0</v>
      </c>
      <c r="X18" s="88">
        <v>67</v>
      </c>
      <c r="Y18" s="32">
        <f>Table1[[#This Row],[Weekly Deaths Current]]/Table1[[#This Row],[Population]]*100000</f>
        <v>2.2201574389854346</v>
      </c>
      <c r="Z18" s="88">
        <v>475</v>
      </c>
      <c r="AA18" s="25">
        <f>Table1[[#This Row],[Total Deaths Current]]-Table1[[#This Row],[Total Deaths Past]]</f>
        <v>0</v>
      </c>
      <c r="AB18" s="88">
        <v>475</v>
      </c>
      <c r="AC18" s="35">
        <f>Table1[[#This Row],[Total Deaths Current]]/Table1[[#This Row],[Population]]*100000</f>
        <v>15.739922142060916</v>
      </c>
      <c r="AD18" s="88">
        <v>42509</v>
      </c>
      <c r="AE18">
        <f>Table1[[#This Row],[Total Tests Current]]-Table1[[#This Row],[Total Tests Past]]</f>
        <v>0</v>
      </c>
      <c r="AF18" s="88">
        <v>42509</v>
      </c>
      <c r="AG18" s="74">
        <f>(Table1[[#This Row],[Total Tests Current]]/Table1[[#This Row],[Population]])*100000</f>
        <v>1408.6070533407735</v>
      </c>
    </row>
    <row r="19" spans="1:33" x14ac:dyDescent="0.25">
      <c r="B19" t="s">
        <v>147</v>
      </c>
      <c r="C19" s="38" t="s">
        <v>195</v>
      </c>
      <c r="D19" s="42">
        <v>7278717</v>
      </c>
      <c r="E19" s="75"/>
      <c r="F19" s="42">
        <f>Table1[[#This Row],[Social Index Current]]-Table1[[#This Row],[SD Past]]</f>
        <v>-34</v>
      </c>
      <c r="G19" s="75">
        <v>34</v>
      </c>
      <c r="H19" s="88">
        <v>0.9034084188282</v>
      </c>
      <c r="I19" s="88">
        <v>0.9034084188282</v>
      </c>
      <c r="J19" s="38">
        <f>Table1[[#This Row],[Rt Current]]-Table1[[#This Row],[Rt Past]]</f>
        <v>0</v>
      </c>
      <c r="K19" s="38">
        <f>VLOOKUP(Table1[[#This Row],[Rt Current]],$G$3:$I$12,3)*5</f>
        <v>12.5</v>
      </c>
      <c r="L19" s="38">
        <v>17.109272964736611</v>
      </c>
      <c r="M19" s="88">
        <v>15670</v>
      </c>
      <c r="N19">
        <f>Table1[[#This Row],[Increase in Pos Tests Past]]-Table1[[#This Row],[Test Increase Current]]</f>
        <v>0</v>
      </c>
      <c r="O19" s="88">
        <v>15670</v>
      </c>
      <c r="P19" s="25">
        <f>Table1[[#This Row],[Test Increase Current]]/Table1[[#This Row],[Population]]*100000</f>
        <v>215.28519380544677</v>
      </c>
      <c r="Q19" s="77">
        <v>0.18202938955683337</v>
      </c>
      <c r="R19" s="78">
        <f>Table1[[#This Row],[TPR Current]]-Table1[[#This Row],[TPR Past]]</f>
        <v>0</v>
      </c>
      <c r="S19" s="77">
        <v>0.18202938955683337</v>
      </c>
      <c r="T19" s="38">
        <f>VLOOKUP(Table1[[#This Row],[TPR Current]],$J$3:$L$8,3)*5</f>
        <v>45</v>
      </c>
      <c r="U19" s="38">
        <f>SUM(Table1[[#This Row],[Stratified Test Positive Rate]]+Table1[[#This Row],[Stratified Rt]])</f>
        <v>57.5</v>
      </c>
      <c r="V19" s="88">
        <v>475</v>
      </c>
      <c r="W19" s="36">
        <f>Table1[[#This Row],[Weekly Deaths Current]]-Table1[[#This Row],[Weekly Deaths Past]]</f>
        <v>0</v>
      </c>
      <c r="X19" s="88">
        <v>475</v>
      </c>
      <c r="Y19" s="46">
        <f>Table1[[#This Row],[Weekly Deaths Current]]/Table1[[#This Row],[Population]]*100000</f>
        <v>6.5258753706182011</v>
      </c>
      <c r="Z19" s="88">
        <v>3779</v>
      </c>
      <c r="AA19" s="38">
        <f>Table1[[#This Row],[Total Deaths Current]]-Table1[[#This Row],[Total Deaths Past]]</f>
        <v>0</v>
      </c>
      <c r="AB19" s="88">
        <v>3779</v>
      </c>
      <c r="AC19" s="51">
        <f>Table1[[#This Row],[Total Deaths Current]]/Table1[[#This Row],[Population]]*100000</f>
        <v>51.918490580139334</v>
      </c>
      <c r="AD19" s="88">
        <v>86085</v>
      </c>
      <c r="AE19">
        <f>Table1[[#This Row],[Total Tests Current]]-Table1[[#This Row],[Total Tests Past]]</f>
        <v>0</v>
      </c>
      <c r="AF19" s="88">
        <v>86085</v>
      </c>
      <c r="AG19" s="74">
        <f>(Table1[[#This Row],[Total Tests Current]]/Table1[[#This Row],[Population]])*100000</f>
        <v>1182.6946974308796</v>
      </c>
    </row>
    <row r="20" spans="1:33" ht="60" x14ac:dyDescent="0.25">
      <c r="A20" s="63" t="s">
        <v>170</v>
      </c>
      <c r="B20" s="63" t="s">
        <v>192</v>
      </c>
      <c r="C20" s="60" t="s">
        <v>193</v>
      </c>
      <c r="D20" s="61">
        <v>39512223</v>
      </c>
      <c r="E20" s="75"/>
      <c r="F20" s="61">
        <f>Table1[[#This Row],[Social Index Current]]-Table1[[#This Row],[SD Past]]</f>
        <v>-37</v>
      </c>
      <c r="G20" s="75">
        <v>37</v>
      </c>
      <c r="H20" s="100">
        <v>0.97008807894890403</v>
      </c>
      <c r="I20" s="100">
        <v>0.97008807894890403</v>
      </c>
      <c r="J20" s="60">
        <f>Table1[[#This Row],[Rt Current]]-Table1[[#This Row],[Rt Past]]</f>
        <v>0</v>
      </c>
      <c r="K20" s="60">
        <f>VLOOKUP(Table1[[#This Row],[Rt Current]],$G$3:$I$12,3)*5</f>
        <v>15</v>
      </c>
      <c r="L20" s="60">
        <v>18.597674617423269</v>
      </c>
      <c r="M20" s="88">
        <v>54351</v>
      </c>
      <c r="N20">
        <f>Table1[[#This Row],[Increase in Pos Tests Past]]-Table1[[#This Row],[Test Increase Current]]</f>
        <v>0</v>
      </c>
      <c r="O20" s="88">
        <v>54351</v>
      </c>
      <c r="P20" s="39">
        <f>Table1[[#This Row],[Test Increase Current]]/Table1[[#This Row],[Population]]*100000</f>
        <v>137.55490294737402</v>
      </c>
      <c r="Q20" s="77">
        <v>6.1197948921201915E-2</v>
      </c>
      <c r="R20" s="78">
        <f>Table1[[#This Row],[TPR Current]]-Table1[[#This Row],[TPR Past]]</f>
        <v>0</v>
      </c>
      <c r="S20" s="77">
        <v>6.1197948921201915E-2</v>
      </c>
      <c r="T20" s="60">
        <f>VLOOKUP(Table1[[#This Row],[TPR Current]],$J$3:$L$8,3)*5</f>
        <v>25</v>
      </c>
      <c r="U20" s="60">
        <f>SUM(Table1[[#This Row],[Stratified Test Positive Rate]]+Table1[[#This Row],[Stratified Rt]])</f>
        <v>40</v>
      </c>
      <c r="V20" s="88">
        <v>943</v>
      </c>
      <c r="W20" s="36">
        <f>Table1[[#This Row],[Weekly Deaths Current]]-Table1[[#This Row],[Weekly Deaths Past]]</f>
        <v>0</v>
      </c>
      <c r="X20" s="88">
        <v>943</v>
      </c>
      <c r="Y20" s="76">
        <f>Table1[[#This Row],[Weekly Deaths Current]]/Table1[[#This Row],[Population]]*100000</f>
        <v>2.3866032543904199</v>
      </c>
      <c r="Z20" s="88">
        <v>9388</v>
      </c>
      <c r="AA20" s="60">
        <f>Table1[[#This Row],[Total Deaths Current]]-Table1[[#This Row],[Total Deaths Past]]</f>
        <v>0</v>
      </c>
      <c r="AB20" s="88">
        <v>9388</v>
      </c>
      <c r="AC20" s="62">
        <f>Table1[[#This Row],[Total Deaths Current]]/Table1[[#This Row],[Population]]*100000</f>
        <v>23.759736322605789</v>
      </c>
      <c r="AD20" s="88">
        <v>888118</v>
      </c>
      <c r="AE20">
        <f>Table1[[#This Row],[Total Tests Current]]-Table1[[#This Row],[Total Tests Past]]</f>
        <v>0</v>
      </c>
      <c r="AF20" s="88">
        <v>888118</v>
      </c>
      <c r="AG20" s="74">
        <f>(Table1[[#This Row],[Total Tests Current]]/Table1[[#This Row],[Population]])*100000</f>
        <v>2247.7044635023444</v>
      </c>
    </row>
    <row r="21" spans="1:33" x14ac:dyDescent="0.25">
      <c r="B21" t="s">
        <v>148</v>
      </c>
      <c r="C21" s="24" t="s">
        <v>197</v>
      </c>
      <c r="D21" s="27">
        <v>5758736</v>
      </c>
      <c r="E21" s="75"/>
      <c r="F21" s="27">
        <f>Table1[[#This Row],[Social Index Current]]-Table1[[#This Row],[SD Past]]</f>
        <v>-28</v>
      </c>
      <c r="G21" s="75">
        <v>28</v>
      </c>
      <c r="H21" s="100">
        <v>1.03777467304077</v>
      </c>
      <c r="I21" s="100">
        <v>1.03777467304077</v>
      </c>
      <c r="J21" s="24">
        <f>Table1[[#This Row],[Rt Current]]-Table1[[#This Row],[Rt Past]]</f>
        <v>0</v>
      </c>
      <c r="K21" s="24">
        <f>VLOOKUP(Table1[[#This Row],[Rt Current]],$G$3:$I$12,3)*5</f>
        <v>35</v>
      </c>
      <c r="L21" s="24">
        <v>6.604166666666667</v>
      </c>
      <c r="M21" s="88">
        <v>3380</v>
      </c>
      <c r="N21">
        <f>Table1[[#This Row],[Increase in Pos Tests Past]]-Table1[[#This Row],[Test Increase Current]]</f>
        <v>0</v>
      </c>
      <c r="O21" s="88">
        <v>3380</v>
      </c>
      <c r="P21" s="37">
        <f>Table1[[#This Row],[Test Increase Current]]/Table1[[#This Row],[Population]]*100000</f>
        <v>58.693435503902251</v>
      </c>
      <c r="Q21" s="77">
        <v>6.8387827775979279E-2</v>
      </c>
      <c r="R21" s="78">
        <f>Table1[[#This Row],[TPR Current]]-Table1[[#This Row],[TPR Past]]</f>
        <v>0</v>
      </c>
      <c r="S21" s="77">
        <v>6.8387827775979279E-2</v>
      </c>
      <c r="T21" s="24">
        <f>VLOOKUP(Table1[[#This Row],[TPR Current]],$J$3:$L$8,3)*5</f>
        <v>25</v>
      </c>
      <c r="U21" s="24">
        <f>SUM(Table1[[#This Row],[Stratified Test Positive Rate]]+Table1[[#This Row],[Stratified Rt]])</f>
        <v>60</v>
      </c>
      <c r="V21" s="88">
        <v>30</v>
      </c>
      <c r="W21" s="36">
        <f>Table1[[#This Row],[Weekly Deaths Current]]-Table1[[#This Row],[Weekly Deaths Past]]</f>
        <v>0</v>
      </c>
      <c r="X21" s="88">
        <v>30</v>
      </c>
      <c r="Y21" s="31">
        <f>Table1[[#This Row],[Weekly Deaths Current]]/Table1[[#This Row],[Population]]*100000</f>
        <v>0.52094765240149921</v>
      </c>
      <c r="Z21" s="88">
        <v>1691</v>
      </c>
      <c r="AA21" s="24">
        <f>Table1[[#This Row],[Total Deaths Current]]-Table1[[#This Row],[Total Deaths Past]]</f>
        <v>0</v>
      </c>
      <c r="AB21" s="88">
        <v>1691</v>
      </c>
      <c r="AC21" s="34">
        <f>Table1[[#This Row],[Total Deaths Current]]/Table1[[#This Row],[Population]]*100000</f>
        <v>29.364082673697837</v>
      </c>
      <c r="AD21" s="88">
        <v>49424</v>
      </c>
      <c r="AE21">
        <f>Table1[[#This Row],[Total Tests Current]]-Table1[[#This Row],[Total Tests Past]]</f>
        <v>0</v>
      </c>
      <c r="AF21" s="88">
        <v>49424</v>
      </c>
      <c r="AG21" s="74">
        <f>(Table1[[#This Row],[Total Tests Current]]/Table1[[#This Row],[Population]])*100000</f>
        <v>858.24389240972323</v>
      </c>
    </row>
    <row r="22" spans="1:33" x14ac:dyDescent="0.25">
      <c r="B22" t="s">
        <v>149</v>
      </c>
      <c r="C22" s="79" t="s">
        <v>214</v>
      </c>
      <c r="D22" s="80">
        <v>3565287</v>
      </c>
      <c r="E22" s="75"/>
      <c r="F22" s="80">
        <f>Table1[[#This Row],[Social Index Current]]-Table1[[#This Row],[SD Past]]</f>
        <v>-27</v>
      </c>
      <c r="G22" s="75">
        <v>27</v>
      </c>
      <c r="H22" s="100">
        <v>1.04903166994224</v>
      </c>
      <c r="I22" s="100">
        <v>1.04903166994224</v>
      </c>
      <c r="J22" s="79">
        <f>Table1[[#This Row],[Rt Current]]-Table1[[#This Row],[Rt Past]]</f>
        <v>0</v>
      </c>
      <c r="K22" s="79">
        <f>VLOOKUP(Table1[[#This Row],[Rt Current]],$G$3:$I$12,3)*5</f>
        <v>35</v>
      </c>
      <c r="L22" s="79">
        <v>4.6623408423114592</v>
      </c>
      <c r="M22" s="88">
        <v>1079</v>
      </c>
      <c r="N22">
        <f>Table1[[#This Row],[Increase in Pos Tests Past]]-Table1[[#This Row],[Test Increase Current]]</f>
        <v>0</v>
      </c>
      <c r="O22" s="88">
        <v>1079</v>
      </c>
      <c r="P22" s="40">
        <f>Table1[[#This Row],[Test Increase Current]]/Table1[[#This Row],[Population]]*100000</f>
        <v>30.264043259350508</v>
      </c>
      <c r="Q22" s="77">
        <v>1.2825236833034197E-2</v>
      </c>
      <c r="R22" s="78">
        <f>Table1[[#This Row],[TPR Current]]-Table1[[#This Row],[TPR Past]]</f>
        <v>0</v>
      </c>
      <c r="S22" s="77">
        <v>1.2825236833034197E-2</v>
      </c>
      <c r="T22" s="79">
        <f>VLOOKUP(Table1[[#This Row],[TPR Current]],$J$3:$L$8,3)*5</f>
        <v>10</v>
      </c>
      <c r="U22" s="79">
        <f>SUM(Table1[[#This Row],[Stratified Test Positive Rate]]+Table1[[#This Row],[Stratified Rt]])</f>
        <v>45</v>
      </c>
      <c r="V22" s="88">
        <v>19</v>
      </c>
      <c r="W22" s="36">
        <f>Table1[[#This Row],[Weekly Deaths Current]]-Table1[[#This Row],[Weekly Deaths Past]]</f>
        <v>0</v>
      </c>
      <c r="X22" s="88">
        <v>19</v>
      </c>
      <c r="Y22" s="81">
        <f>Table1[[#This Row],[Weekly Deaths Current]]/Table1[[#This Row],[Population]]*100000</f>
        <v>0.53291642440005527</v>
      </c>
      <c r="Z22" s="88">
        <v>4437</v>
      </c>
      <c r="AA22" s="79">
        <f>Table1[[#This Row],[Total Deaths Current]]-Table1[[#This Row],[Total Deaths Past]]</f>
        <v>0</v>
      </c>
      <c r="AB22" s="88">
        <v>4437</v>
      </c>
      <c r="AC22" s="82">
        <f>Table1[[#This Row],[Total Deaths Current]]/Table1[[#This Row],[Population]]*100000</f>
        <v>124.45000921384451</v>
      </c>
      <c r="AD22" s="88">
        <v>84131</v>
      </c>
      <c r="AE22">
        <f>Table1[[#This Row],[Total Tests Current]]-Table1[[#This Row],[Total Tests Past]]</f>
        <v>0</v>
      </c>
      <c r="AF22" s="88">
        <v>84131</v>
      </c>
      <c r="AG22" s="74">
        <f>(Table1[[#This Row],[Total Tests Current]]/Table1[[#This Row],[Population]])*100000</f>
        <v>2359.7258790105816</v>
      </c>
    </row>
    <row r="23" spans="1:33" x14ac:dyDescent="0.25">
      <c r="C23" s="79" t="s">
        <v>20</v>
      </c>
      <c r="D23" s="80">
        <v>705749</v>
      </c>
      <c r="E23" s="75"/>
      <c r="F23" s="80">
        <f>Table1[[#This Row],[Social Index Current]]-Table1[[#This Row],[SD Past]]</f>
        <v>-57</v>
      </c>
      <c r="G23" s="75">
        <v>57</v>
      </c>
      <c r="H23" s="100">
        <v>1.0173655072999299</v>
      </c>
      <c r="I23" s="100">
        <v>1.0173655072999299</v>
      </c>
      <c r="J23" s="79">
        <f>Table1[[#This Row],[Rt Current]]-Table1[[#This Row],[Rt Past]]</f>
        <v>0</v>
      </c>
      <c r="K23" s="79">
        <f>VLOOKUP(Table1[[#This Row],[Rt Current]],$G$3:$I$12,3)*5</f>
        <v>35</v>
      </c>
      <c r="L23" s="79">
        <v>4.340345604808415</v>
      </c>
      <c r="M23" s="88">
        <v>455</v>
      </c>
      <c r="N23">
        <f>Table1[[#This Row],[Increase in Pos Tests Past]]-Table1[[#This Row],[Test Increase Current]]</f>
        <v>0</v>
      </c>
      <c r="O23" s="88">
        <v>455</v>
      </c>
      <c r="P23" s="40">
        <f>Table1[[#This Row],[Test Increase Current]]/Table1[[#This Row],[Population]]*100000</f>
        <v>64.470512887726372</v>
      </c>
      <c r="Q23" s="77">
        <v>1.8445696679774599E-2</v>
      </c>
      <c r="R23" s="78">
        <f>Table1[[#This Row],[TPR Current]]-Table1[[#This Row],[TPR Past]]</f>
        <v>0</v>
      </c>
      <c r="S23" s="77">
        <v>1.8445696679774599E-2</v>
      </c>
      <c r="T23" s="79">
        <f>VLOOKUP(Table1[[#This Row],[TPR Current]],$J$3:$L$8,3)*5</f>
        <v>10</v>
      </c>
      <c r="U23" s="79">
        <f>SUM(Table1[[#This Row],[Stratified Test Positive Rate]]+Table1[[#This Row],[Stratified Rt]])</f>
        <v>45</v>
      </c>
      <c r="V23" s="88">
        <v>4</v>
      </c>
      <c r="W23" s="36">
        <f>Table1[[#This Row],[Weekly Deaths Current]]-Table1[[#This Row],[Weekly Deaths Past]]</f>
        <v>0</v>
      </c>
      <c r="X23" s="88">
        <v>4</v>
      </c>
      <c r="Y23" s="81">
        <f>Table1[[#This Row],[Weekly Deaths Current]]/Table1[[#This Row],[Population]]*100000</f>
        <v>0.5667737396723197</v>
      </c>
      <c r="Z23" s="88">
        <v>586</v>
      </c>
      <c r="AA23" s="79">
        <f>Table1[[#This Row],[Total Deaths Current]]-Table1[[#This Row],[Total Deaths Past]]</f>
        <v>0</v>
      </c>
      <c r="AB23" s="88">
        <v>586</v>
      </c>
      <c r="AC23" s="82">
        <f>Table1[[#This Row],[Total Deaths Current]]/Table1[[#This Row],[Population]]*100000</f>
        <v>83.032352861994852</v>
      </c>
      <c r="AD23" s="88">
        <v>24667</v>
      </c>
      <c r="AE23">
        <f>Table1[[#This Row],[Total Tests Current]]-Table1[[#This Row],[Total Tests Past]]</f>
        <v>0</v>
      </c>
      <c r="AF23" s="88">
        <v>24667</v>
      </c>
      <c r="AG23" s="74">
        <f>(Table1[[#This Row],[Total Tests Current]]/Table1[[#This Row],[Population]])*100000</f>
        <v>3495.1519591242777</v>
      </c>
    </row>
    <row r="24" spans="1:33" x14ac:dyDescent="0.25">
      <c r="C24" s="24" t="s">
        <v>213</v>
      </c>
      <c r="D24" s="27">
        <v>973764</v>
      </c>
      <c r="E24" s="75"/>
      <c r="F24" s="27">
        <f>Table1[[#This Row],[Social Index Current]]-Table1[[#This Row],[SD Past]]</f>
        <v>-28</v>
      </c>
      <c r="G24" s="75">
        <v>28</v>
      </c>
      <c r="H24" s="100">
        <v>0.95581753316075402</v>
      </c>
      <c r="I24" s="100">
        <v>0.95581753316075402</v>
      </c>
      <c r="J24" s="24">
        <f>Table1[[#This Row],[Rt Current]]-Table1[[#This Row],[Rt Past]]</f>
        <v>0</v>
      </c>
      <c r="K24" s="24">
        <f>VLOOKUP(Table1[[#This Row],[Rt Current]],$G$3:$I$12,3)*5</f>
        <v>15</v>
      </c>
      <c r="L24" s="24">
        <v>4.5692946058091284</v>
      </c>
      <c r="M24" s="88">
        <v>649</v>
      </c>
      <c r="N24">
        <f>Table1[[#This Row],[Increase in Pos Tests Past]]-Table1[[#This Row],[Test Increase Current]]</f>
        <v>0</v>
      </c>
      <c r="O24" s="88">
        <v>649</v>
      </c>
      <c r="P24" s="37">
        <f>Table1[[#This Row],[Test Increase Current]]/Table1[[#This Row],[Population]]*100000</f>
        <v>66.64859247209796</v>
      </c>
      <c r="Q24" s="77">
        <v>4.4452054794520551E-2</v>
      </c>
      <c r="R24" s="78">
        <f>Table1[[#This Row],[TPR Current]]-Table1[[#This Row],[TPR Past]]</f>
        <v>0</v>
      </c>
      <c r="S24" s="77">
        <v>4.4452054794520551E-2</v>
      </c>
      <c r="T24" s="24">
        <f>VLOOKUP(Table1[[#This Row],[TPR Current]],$J$3:$L$8,3)*5</f>
        <v>15</v>
      </c>
      <c r="U24" s="24">
        <f>SUM(Table1[[#This Row],[Stratified Test Positive Rate]]+Table1[[#This Row],[Stratified Rt]])</f>
        <v>30</v>
      </c>
      <c r="V24" s="88">
        <v>6</v>
      </c>
      <c r="W24" s="36">
        <f>Table1[[#This Row],[Weekly Deaths Current]]-Table1[[#This Row],[Weekly Deaths Past]]</f>
        <v>0</v>
      </c>
      <c r="X24" s="88">
        <v>6</v>
      </c>
      <c r="Y24" s="31">
        <f>Table1[[#This Row],[Weekly Deaths Current]]/Table1[[#This Row],[Population]]*100000</f>
        <v>0.61616572393310898</v>
      </c>
      <c r="Z24" s="88">
        <v>585</v>
      </c>
      <c r="AA24" s="24">
        <f>Table1[[#This Row],[Total Deaths Current]]-Table1[[#This Row],[Total Deaths Past]]</f>
        <v>0</v>
      </c>
      <c r="AB24" s="88">
        <v>585</v>
      </c>
      <c r="AC24" s="34">
        <f>Table1[[#This Row],[Total Deaths Current]]/Table1[[#This Row],[Population]]*100000</f>
        <v>60.076158083478134</v>
      </c>
      <c r="AD24" s="88">
        <v>14600</v>
      </c>
      <c r="AE24">
        <f>Table1[[#This Row],[Total Tests Current]]-Table1[[#This Row],[Total Tests Past]]</f>
        <v>0</v>
      </c>
      <c r="AF24" s="88">
        <v>14600</v>
      </c>
      <c r="AG24" s="74">
        <f>(Table1[[#This Row],[Total Tests Current]]/Table1[[#This Row],[Population]])*100000</f>
        <v>1499.3365949038987</v>
      </c>
    </row>
    <row r="25" spans="1:33" ht="30" x14ac:dyDescent="0.25">
      <c r="A25" s="63" t="s">
        <v>171</v>
      </c>
      <c r="B25" t="s">
        <v>150</v>
      </c>
      <c r="C25" s="36" t="s">
        <v>194</v>
      </c>
      <c r="D25" s="41">
        <v>21477737</v>
      </c>
      <c r="E25" s="75"/>
      <c r="F25" s="41">
        <f>Table1[[#This Row],[Social Index Current]]-Table1[[#This Row],[SD Past]]</f>
        <v>-34</v>
      </c>
      <c r="G25" s="75">
        <v>34</v>
      </c>
      <c r="H25" s="100">
        <v>0.98601935104760796</v>
      </c>
      <c r="I25" s="100">
        <v>0.98601935104760796</v>
      </c>
      <c r="J25" s="36">
        <f>Table1[[#This Row],[Rt Current]]-Table1[[#This Row],[Rt Past]]</f>
        <v>0</v>
      </c>
      <c r="K25" s="36">
        <f>VLOOKUP(Table1[[#This Row],[Rt Current]],$G$3:$I$12,3)*5</f>
        <v>15</v>
      </c>
      <c r="L25" s="36">
        <v>21.515181004281821</v>
      </c>
      <c r="M25" s="88">
        <v>59137</v>
      </c>
      <c r="N25">
        <f>Table1[[#This Row],[Increase in Pos Tests Past]]-Table1[[#This Row],[Test Increase Current]]</f>
        <v>0</v>
      </c>
      <c r="O25" s="88">
        <v>59137</v>
      </c>
      <c r="P25" s="23">
        <f>Table1[[#This Row],[Test Increase Current]]/Table1[[#This Row],[Population]]*100000</f>
        <v>275.34092628101371</v>
      </c>
      <c r="Q25" s="77">
        <v>0.18405482709359761</v>
      </c>
      <c r="R25" s="78">
        <f>Table1[[#This Row],[TPR Current]]-Table1[[#This Row],[TPR Past]]</f>
        <v>0</v>
      </c>
      <c r="S25" s="77">
        <v>0.18405482709359761</v>
      </c>
      <c r="T25" s="43">
        <f>VLOOKUP(Table1[[#This Row],[TPR Current]],$J$3:$L$8,3)*5</f>
        <v>45</v>
      </c>
      <c r="U25" s="43">
        <f>SUM(Table1[[#This Row],[Stratified Test Positive Rate]]+Table1[[#This Row],[Stratified Rt]])</f>
        <v>60</v>
      </c>
      <c r="V25" s="88">
        <v>1230</v>
      </c>
      <c r="W25" s="36">
        <f>Table1[[#This Row],[Weekly Deaths Current]]-Table1[[#This Row],[Weekly Deaths Past]]</f>
        <v>0</v>
      </c>
      <c r="X25" s="88">
        <v>1230</v>
      </c>
      <c r="Y25" s="44">
        <f>Table1[[#This Row],[Weekly Deaths Current]]/Table1[[#This Row],[Population]]*100000</f>
        <v>5.7268603298382876</v>
      </c>
      <c r="Z25" s="88">
        <v>7279</v>
      </c>
      <c r="AA25" s="36">
        <f>Table1[[#This Row],[Total Deaths Current]]-Table1[[#This Row],[Total Deaths Past]]</f>
        <v>0</v>
      </c>
      <c r="AB25" s="88">
        <v>7279</v>
      </c>
      <c r="AC25" s="49">
        <f>Table1[[#This Row],[Total Deaths Current]]/Table1[[#This Row],[Population]]*100000</f>
        <v>33.890907594221872</v>
      </c>
      <c r="AD25" s="88">
        <v>321301</v>
      </c>
      <c r="AE25">
        <f>Table1[[#This Row],[Total Tests Current]]-Table1[[#This Row],[Total Tests Past]]</f>
        <v>0</v>
      </c>
      <c r="AF25" s="88">
        <v>321301</v>
      </c>
      <c r="AG25" s="74">
        <f>(Table1[[#This Row],[Total Tests Current]]/Table1[[#This Row],[Population]])*100000</f>
        <v>1495.9723177539609</v>
      </c>
    </row>
    <row r="26" spans="1:33" ht="60" x14ac:dyDescent="0.25">
      <c r="A26" s="63" t="s">
        <v>172</v>
      </c>
      <c r="B26" t="s">
        <v>190</v>
      </c>
      <c r="C26" s="36" t="s">
        <v>45</v>
      </c>
      <c r="D26" s="41">
        <v>10617423</v>
      </c>
      <c r="E26" s="75"/>
      <c r="F26" s="41">
        <f>Table1[[#This Row],[Social Index Current]]-Table1[[#This Row],[SD Past]]</f>
        <v>-30</v>
      </c>
      <c r="G26" s="75">
        <v>30</v>
      </c>
      <c r="H26" s="100">
        <v>0.95378253064743601</v>
      </c>
      <c r="I26" s="100">
        <v>0.95378253064743601</v>
      </c>
      <c r="J26" s="36">
        <f>Table1[[#This Row],[Rt Current]]-Table1[[#This Row],[Rt Past]]</f>
        <v>0</v>
      </c>
      <c r="K26" s="36">
        <f>VLOOKUP(Table1[[#This Row],[Rt Current]],$G$3:$I$12,3)*5</f>
        <v>15</v>
      </c>
      <c r="L26" s="36">
        <v>12.918054504163512</v>
      </c>
      <c r="M26" s="88">
        <v>24592</v>
      </c>
      <c r="N26">
        <f>Table1[[#This Row],[Increase in Pos Tests Past]]-Table1[[#This Row],[Test Increase Current]]</f>
        <v>0</v>
      </c>
      <c r="O26" s="88">
        <v>24592</v>
      </c>
      <c r="P26" s="23">
        <f>Table1[[#This Row],[Test Increase Current]]/Table1[[#This Row],[Population]]*100000</f>
        <v>231.61929217664209</v>
      </c>
      <c r="Q26" s="77">
        <v>0.1271311738127979</v>
      </c>
      <c r="R26" s="78">
        <f>Table1[[#This Row],[TPR Current]]-Table1[[#This Row],[TPR Past]]</f>
        <v>0</v>
      </c>
      <c r="S26" s="77">
        <v>0.1271311738127979</v>
      </c>
      <c r="T26" s="43">
        <f>VLOOKUP(Table1[[#This Row],[TPR Current]],$J$3:$L$8,3)*5</f>
        <v>40</v>
      </c>
      <c r="U26" s="43">
        <f>SUM(Table1[[#This Row],[Stratified Test Positive Rate]]+Table1[[#This Row],[Stratified Rt]])</f>
        <v>55</v>
      </c>
      <c r="V26" s="88">
        <v>333</v>
      </c>
      <c r="W26" s="36">
        <f>Table1[[#This Row],[Weekly Deaths Current]]-Table1[[#This Row],[Weekly Deaths Past]]</f>
        <v>0</v>
      </c>
      <c r="X26" s="88">
        <v>333</v>
      </c>
      <c r="Y26" s="44">
        <f>Table1[[#This Row],[Weekly Deaths Current]]/Table1[[#This Row],[Population]]*100000</f>
        <v>3.1363542735369969</v>
      </c>
      <c r="Z26" s="88">
        <v>3842</v>
      </c>
      <c r="AA26" s="36">
        <f>Table1[[#This Row],[Total Deaths Current]]-Table1[[#This Row],[Total Deaths Past]]</f>
        <v>0</v>
      </c>
      <c r="AB26" s="88">
        <v>3842</v>
      </c>
      <c r="AC26" s="49">
        <f>Table1[[#This Row],[Total Deaths Current]]/Table1[[#This Row],[Population]]*100000</f>
        <v>36.185805161949375</v>
      </c>
      <c r="AD26" s="88">
        <v>193438</v>
      </c>
      <c r="AE26">
        <f>Table1[[#This Row],[Total Tests Current]]-Table1[[#This Row],[Total Tests Past]]</f>
        <v>0</v>
      </c>
      <c r="AF26" s="88">
        <v>193438</v>
      </c>
      <c r="AG26" s="74">
        <f>(Table1[[#This Row],[Total Tests Current]]/Table1[[#This Row],[Population]])*100000</f>
        <v>1821.8921860794283</v>
      </c>
    </row>
    <row r="27" spans="1:33" x14ac:dyDescent="0.25">
      <c r="C27" s="39" t="s">
        <v>22</v>
      </c>
      <c r="D27" s="20">
        <v>1415872</v>
      </c>
      <c r="E27" s="75"/>
      <c r="F27" s="55">
        <f>Table1[[#This Row],[Social Index Current]]-Table1[[#This Row],[SD Past]]</f>
        <v>-45</v>
      </c>
      <c r="G27" s="75">
        <v>45</v>
      </c>
      <c r="H27" s="100">
        <v>1.30657930585045</v>
      </c>
      <c r="I27" s="100">
        <v>1.30657930585045</v>
      </c>
      <c r="J27" s="39">
        <f>Table1[[#This Row],[Rt Current]]-Table1[[#This Row],[Rt Past]]</f>
        <v>0</v>
      </c>
      <c r="K27" s="39">
        <f>VLOOKUP(Table1[[#This Row],[Rt Current]],$G$3:$I$12,3)*5</f>
        <v>40</v>
      </c>
      <c r="L27" s="39">
        <v>377</v>
      </c>
      <c r="M27" s="88">
        <v>559</v>
      </c>
      <c r="N27">
        <f>Table1[[#This Row],[Increase in Pos Tests Past]]-Table1[[#This Row],[Test Increase Current]]</f>
        <v>0</v>
      </c>
      <c r="O27" s="88">
        <v>559</v>
      </c>
      <c r="P27" s="39">
        <f>Table1[[#This Row],[Test Increase Current]]/Table1[[#This Row],[Population]]*100000</f>
        <v>39.480970031189258</v>
      </c>
      <c r="Q27" s="77">
        <v>4.2464296566393195E-2</v>
      </c>
      <c r="R27" s="78">
        <f>Table1[[#This Row],[TPR Current]]-Table1[[#This Row],[TPR Past]]</f>
        <v>0</v>
      </c>
      <c r="S27" s="77">
        <v>4.2464296566393195E-2</v>
      </c>
      <c r="T27" s="39">
        <f>VLOOKUP(Table1[[#This Row],[TPR Current]],$J$3:$L$8,3)*5</f>
        <v>15</v>
      </c>
      <c r="U27" s="39">
        <f>SUM(Table1[[#This Row],[Stratified Test Positive Rate]]+Table1[[#This Row],[Stratified Rt]])</f>
        <v>55</v>
      </c>
      <c r="V27" s="88">
        <v>0</v>
      </c>
      <c r="W27" s="36">
        <f>Table1[[#This Row],[Weekly Deaths Current]]-Table1[[#This Row],[Weekly Deaths Past]]</f>
        <v>0</v>
      </c>
      <c r="X27" s="88">
        <v>0</v>
      </c>
      <c r="Y27" s="87">
        <v>1E-3</v>
      </c>
      <c r="Z27" s="88">
        <v>26</v>
      </c>
      <c r="AA27" s="39">
        <f>Table1[[#This Row],[Total Deaths Current]]-Table1[[#This Row],[Total Deaths Past]]</f>
        <v>0</v>
      </c>
      <c r="AB27" s="88">
        <v>26</v>
      </c>
      <c r="AC27" s="52">
        <f>Table1[[#This Row],[Total Deaths Current]]/Table1[[#This Row],[Population]]*100000</f>
        <v>1.836324187497175</v>
      </c>
      <c r="AD27" s="88">
        <v>13164</v>
      </c>
      <c r="AE27">
        <f>Table1[[#This Row],[Total Tests Current]]-Table1[[#This Row],[Total Tests Past]]</f>
        <v>0</v>
      </c>
      <c r="AF27" s="88">
        <v>13164</v>
      </c>
      <c r="AG27" s="74">
        <f>(Table1[[#This Row],[Total Tests Current]]/Table1[[#This Row],[Population]])*100000</f>
        <v>929.74506170049267</v>
      </c>
    </row>
    <row r="28" spans="1:33" ht="30" x14ac:dyDescent="0.25">
      <c r="A28" s="63" t="s">
        <v>173</v>
      </c>
      <c r="B28" t="s">
        <v>151</v>
      </c>
      <c r="C28" s="24" t="s">
        <v>46</v>
      </c>
      <c r="D28" s="27">
        <v>3155070</v>
      </c>
      <c r="E28" s="75"/>
      <c r="F28" s="27">
        <f>Table1[[#This Row],[Social Index Current]]-Table1[[#This Row],[SD Past]]</f>
        <v>-25</v>
      </c>
      <c r="G28" s="75">
        <v>25</v>
      </c>
      <c r="H28" s="100">
        <v>1.0101617161716401</v>
      </c>
      <c r="I28" s="100">
        <v>1.0101617161716401</v>
      </c>
      <c r="J28" s="24">
        <f>Table1[[#This Row],[Rt Current]]-Table1[[#This Row],[Rt Past]]</f>
        <v>0</v>
      </c>
      <c r="K28" s="24">
        <f>VLOOKUP(Table1[[#This Row],[Rt Current]],$G$3:$I$12,3)*5</f>
        <v>35</v>
      </c>
      <c r="L28" s="24">
        <v>6.0705160960654059</v>
      </c>
      <c r="M28" s="88">
        <v>3287</v>
      </c>
      <c r="N28">
        <f>Table1[[#This Row],[Increase in Pos Tests Past]]-Table1[[#This Row],[Test Increase Current]]</f>
        <v>0</v>
      </c>
      <c r="O28" s="88">
        <v>3287</v>
      </c>
      <c r="P28" s="37">
        <f>Table1[[#This Row],[Test Increase Current]]/Table1[[#This Row],[Population]]*100000</f>
        <v>104.1815237062886</v>
      </c>
      <c r="Q28" s="77">
        <v>0.10392032880177048</v>
      </c>
      <c r="R28" s="78">
        <f>Table1[[#This Row],[TPR Current]]-Table1[[#This Row],[TPR Past]]</f>
        <v>0</v>
      </c>
      <c r="S28" s="77">
        <v>0.10392032880177048</v>
      </c>
      <c r="T28" s="24">
        <f>VLOOKUP(Table1[[#This Row],[TPR Current]],$J$3:$L$8,3)*5</f>
        <v>25</v>
      </c>
      <c r="U28" s="24">
        <f>SUM(Table1[[#This Row],[Stratified Test Positive Rate]]+Table1[[#This Row],[Stratified Rt]])</f>
        <v>60</v>
      </c>
      <c r="V28" s="88">
        <v>49</v>
      </c>
      <c r="W28" s="36">
        <f>Table1[[#This Row],[Weekly Deaths Current]]-Table1[[#This Row],[Weekly Deaths Past]]</f>
        <v>0</v>
      </c>
      <c r="X28" s="88">
        <v>49</v>
      </c>
      <c r="Y28" s="31">
        <f>Table1[[#This Row],[Weekly Deaths Current]]/Table1[[#This Row],[Population]]*100000</f>
        <v>1.5530558751469854</v>
      </c>
      <c r="Z28" s="88">
        <v>882</v>
      </c>
      <c r="AA28" s="24">
        <f>Table1[[#This Row],[Total Deaths Current]]-Table1[[#This Row],[Total Deaths Past]]</f>
        <v>0</v>
      </c>
      <c r="AB28" s="88">
        <v>882</v>
      </c>
      <c r="AC28" s="34">
        <f>Table1[[#This Row],[Total Deaths Current]]/Table1[[#This Row],[Population]]*100000</f>
        <v>27.955005752645743</v>
      </c>
      <c r="AD28" s="88">
        <v>31630</v>
      </c>
      <c r="AE28">
        <f>Table1[[#This Row],[Total Tests Current]]-Table1[[#This Row],[Total Tests Past]]</f>
        <v>0</v>
      </c>
      <c r="AF28" s="88">
        <v>31630</v>
      </c>
      <c r="AG28" s="74">
        <f>(Table1[[#This Row],[Total Tests Current]]/Table1[[#This Row],[Population]])*100000</f>
        <v>1002.5134149163093</v>
      </c>
    </row>
    <row r="29" spans="1:33" x14ac:dyDescent="0.25">
      <c r="C29" s="36" t="s">
        <v>204</v>
      </c>
      <c r="D29" s="41">
        <v>1787065</v>
      </c>
      <c r="E29" s="75"/>
      <c r="F29" s="41">
        <f>Table1[[#This Row],[Social Index Current]]-Table1[[#This Row],[SD Past]]</f>
        <v>-26</v>
      </c>
      <c r="G29" s="75">
        <v>26</v>
      </c>
      <c r="H29" s="88">
        <v>1.0282004985836599</v>
      </c>
      <c r="I29" s="88">
        <v>1.0282004985836599</v>
      </c>
      <c r="J29" s="36">
        <f>Table1[[#This Row],[Rt Current]]-Table1[[#This Row],[Rt Past]]</f>
        <v>0</v>
      </c>
      <c r="K29" s="36">
        <f>VLOOKUP(Table1[[#This Row],[Rt Current]],$G$3:$I$12,3)*5</f>
        <v>35</v>
      </c>
      <c r="L29" s="36">
        <v>12.626436781609195</v>
      </c>
      <c r="M29" s="88">
        <v>3167</v>
      </c>
      <c r="N29">
        <f>Table1[[#This Row],[Increase in Pos Tests Past]]-Table1[[#This Row],[Test Increase Current]]</f>
        <v>0</v>
      </c>
      <c r="O29" s="88">
        <v>3167</v>
      </c>
      <c r="P29" s="23">
        <f>Table1[[#This Row],[Test Increase Current]]/Table1[[#This Row],[Population]]*100000</f>
        <v>177.21795234084939</v>
      </c>
      <c r="Q29" s="77">
        <v>0.1826096984374099</v>
      </c>
      <c r="R29" s="78">
        <f>Table1[[#This Row],[TPR Current]]-Table1[[#This Row],[TPR Past]]</f>
        <v>0</v>
      </c>
      <c r="S29" s="77">
        <v>0.1826096984374099</v>
      </c>
      <c r="T29" s="43">
        <f>VLOOKUP(Table1[[#This Row],[TPR Current]],$J$3:$L$8,3)*5</f>
        <v>45</v>
      </c>
      <c r="U29" s="43">
        <f>SUM(Table1[[#This Row],[Stratified Test Positive Rate]]+Table1[[#This Row],[Stratified Rt]])</f>
        <v>80</v>
      </c>
      <c r="V29" s="88">
        <v>51</v>
      </c>
      <c r="W29" s="36">
        <f>Table1[[#This Row],[Weekly Deaths Current]]-Table1[[#This Row],[Weekly Deaths Past]]</f>
        <v>0</v>
      </c>
      <c r="X29" s="88">
        <v>51</v>
      </c>
      <c r="Y29" s="44">
        <f>Table1[[#This Row],[Weekly Deaths Current]]/Table1[[#This Row],[Population]]*100000</f>
        <v>2.8538413543995325</v>
      </c>
      <c r="Z29" s="88">
        <v>197</v>
      </c>
      <c r="AA29" s="36">
        <f>Table1[[#This Row],[Total Deaths Current]]-Table1[[#This Row],[Total Deaths Past]]</f>
        <v>0</v>
      </c>
      <c r="AB29" s="88">
        <v>197</v>
      </c>
      <c r="AC29" s="49">
        <f>Table1[[#This Row],[Total Deaths Current]]/Table1[[#This Row],[Population]]*100000</f>
        <v>11.02366170228839</v>
      </c>
      <c r="AD29" s="88">
        <v>17343</v>
      </c>
      <c r="AE29">
        <f>Table1[[#This Row],[Total Tests Current]]-Table1[[#This Row],[Total Tests Past]]</f>
        <v>0</v>
      </c>
      <c r="AF29" s="88">
        <v>17343</v>
      </c>
      <c r="AG29" s="74">
        <f>(Table1[[#This Row],[Total Tests Current]]/Table1[[#This Row],[Population]])*100000</f>
        <v>970.47393351668791</v>
      </c>
    </row>
    <row r="30" spans="1:33" ht="75" x14ac:dyDescent="0.25">
      <c r="A30" s="63" t="s">
        <v>174</v>
      </c>
      <c r="B30" s="63" t="s">
        <v>152</v>
      </c>
      <c r="C30" s="24" t="s">
        <v>48</v>
      </c>
      <c r="D30" s="27">
        <v>12671821</v>
      </c>
      <c r="E30" s="75"/>
      <c r="F30" s="27">
        <f>Table1[[#This Row],[Social Index Current]]-Table1[[#This Row],[SD Past]]</f>
        <v>-27</v>
      </c>
      <c r="G30" s="75">
        <v>27</v>
      </c>
      <c r="H30" s="100">
        <v>1.0928764203221</v>
      </c>
      <c r="I30" s="100">
        <v>1.0928764203221</v>
      </c>
      <c r="J30" s="24">
        <f>Table1[[#This Row],[Rt Current]]-Table1[[#This Row],[Rt Past]]</f>
        <v>0</v>
      </c>
      <c r="K30" s="24">
        <f>VLOOKUP(Table1[[#This Row],[Rt Current]],$G$3:$I$12,3)*5</f>
        <v>35</v>
      </c>
      <c r="L30" s="24">
        <v>6.0805346700083538</v>
      </c>
      <c r="M30" s="88">
        <v>10625</v>
      </c>
      <c r="N30">
        <f>Table1[[#This Row],[Increase in Pos Tests Past]]-Table1[[#This Row],[Test Increase Current]]</f>
        <v>0</v>
      </c>
      <c r="O30" s="88">
        <v>10625</v>
      </c>
      <c r="P30" s="37">
        <f>Table1[[#This Row],[Test Increase Current]]/Table1[[#This Row],[Population]]*100000</f>
        <v>83.847459650826821</v>
      </c>
      <c r="Q30" s="77">
        <v>4.013947760122704E-2</v>
      </c>
      <c r="R30" s="78">
        <f>Table1[[#This Row],[TPR Current]]-Table1[[#This Row],[TPR Past]]</f>
        <v>0</v>
      </c>
      <c r="S30" s="77">
        <v>4.013947760122704E-2</v>
      </c>
      <c r="T30" s="24">
        <f>VLOOKUP(Table1[[#This Row],[TPR Current]],$J$3:$L$8,3)*5</f>
        <v>15</v>
      </c>
      <c r="U30" s="24">
        <f>SUM(Table1[[#This Row],[Stratified Test Positive Rate]]+Table1[[#This Row],[Stratified Rt]])</f>
        <v>50</v>
      </c>
      <c r="V30" s="88">
        <v>115</v>
      </c>
      <c r="W30" s="36">
        <f>Table1[[#This Row],[Weekly Deaths Current]]-Table1[[#This Row],[Weekly Deaths Past]]</f>
        <v>0</v>
      </c>
      <c r="X30" s="88">
        <v>115</v>
      </c>
      <c r="Y30" s="31">
        <f>Table1[[#This Row],[Weekly Deaths Current]]/Table1[[#This Row],[Population]]*100000</f>
        <v>0.90752544563247861</v>
      </c>
      <c r="Z30" s="88">
        <v>7723</v>
      </c>
      <c r="AA30" s="24">
        <f>Table1[[#This Row],[Total Deaths Current]]-Table1[[#This Row],[Total Deaths Past]]</f>
        <v>0</v>
      </c>
      <c r="AB30" s="88">
        <v>7723</v>
      </c>
      <c r="AC30" s="34">
        <f>Table1[[#This Row],[Total Deaths Current]]/Table1[[#This Row],[Population]]*100000</f>
        <v>60.946252318431583</v>
      </c>
      <c r="AD30" s="88">
        <v>264702</v>
      </c>
      <c r="AE30">
        <f>Table1[[#This Row],[Total Tests Current]]-Table1[[#This Row],[Total Tests Past]]</f>
        <v>0</v>
      </c>
      <c r="AF30" s="88">
        <v>264702</v>
      </c>
      <c r="AG30" s="74">
        <f>(Table1[[#This Row],[Total Tests Current]]/Table1[[#This Row],[Population]])*100000</f>
        <v>2088.9026131287678</v>
      </c>
    </row>
    <row r="31" spans="1:33" ht="30" x14ac:dyDescent="0.25">
      <c r="A31" s="63" t="s">
        <v>175</v>
      </c>
      <c r="B31" t="s">
        <v>153</v>
      </c>
      <c r="C31" s="24" t="s">
        <v>211</v>
      </c>
      <c r="D31" s="27">
        <v>6732219</v>
      </c>
      <c r="E31" s="75"/>
      <c r="F31" s="27">
        <f>Table1[[#This Row],[Social Index Current]]-Table1[[#This Row],[SD Past]]</f>
        <v>-25</v>
      </c>
      <c r="G31" s="75">
        <v>25</v>
      </c>
      <c r="H31" s="88">
        <v>1.0015865310325001</v>
      </c>
      <c r="I31" s="88">
        <v>1.0015865310325001</v>
      </c>
      <c r="J31" s="24">
        <f>Table1[[#This Row],[Rt Current]]-Table1[[#This Row],[Rt Past]]</f>
        <v>0</v>
      </c>
      <c r="K31" s="24">
        <f>VLOOKUP(Table1[[#This Row],[Rt Current]],$G$3:$I$12,3)*5</f>
        <v>15</v>
      </c>
      <c r="L31" s="24">
        <v>6.3804627249357324</v>
      </c>
      <c r="M31" s="88">
        <v>5526</v>
      </c>
      <c r="N31">
        <f>Table1[[#This Row],[Increase in Pos Tests Past]]-Table1[[#This Row],[Test Increase Current]]</f>
        <v>0</v>
      </c>
      <c r="O31" s="88">
        <v>5526</v>
      </c>
      <c r="P31" s="37">
        <f>Table1[[#This Row],[Test Increase Current]]/Table1[[#This Row],[Population]]*100000</f>
        <v>82.08289124284282</v>
      </c>
      <c r="Q31" s="77">
        <v>8.1635667961767439E-2</v>
      </c>
      <c r="R31" s="78">
        <f>Table1[[#This Row],[TPR Current]]-Table1[[#This Row],[TPR Past]]</f>
        <v>0</v>
      </c>
      <c r="S31" s="77">
        <v>8.1635667961767439E-2</v>
      </c>
      <c r="T31" s="24">
        <f>VLOOKUP(Table1[[#This Row],[TPR Current]],$J$3:$L$8,3)*5</f>
        <v>25</v>
      </c>
      <c r="U31" s="24">
        <f>SUM(Table1[[#This Row],[Stratified Test Positive Rate]]+Table1[[#This Row],[Stratified Rt]])</f>
        <v>40</v>
      </c>
      <c r="V31" s="88">
        <v>74</v>
      </c>
      <c r="W31" s="36">
        <f>Table1[[#This Row],[Weekly Deaths Current]]-Table1[[#This Row],[Weekly Deaths Past]]</f>
        <v>0</v>
      </c>
      <c r="X31" s="88">
        <v>74</v>
      </c>
      <c r="Y31" s="31">
        <f>Table1[[#This Row],[Weekly Deaths Current]]/Table1[[#This Row],[Population]]*100000</f>
        <v>1.0991918117934072</v>
      </c>
      <c r="Z31" s="88">
        <v>2980</v>
      </c>
      <c r="AA31" s="24">
        <f>Table1[[#This Row],[Total Deaths Current]]-Table1[[#This Row],[Total Deaths Past]]</f>
        <v>0</v>
      </c>
      <c r="AB31" s="88">
        <v>2980</v>
      </c>
      <c r="AC31" s="34">
        <f>Table1[[#This Row],[Total Deaths Current]]/Table1[[#This Row],[Population]]*100000</f>
        <v>44.26475133978856</v>
      </c>
      <c r="AD31" s="88">
        <v>67691</v>
      </c>
      <c r="AE31">
        <f>Table1[[#This Row],[Total Tests Current]]-Table1[[#This Row],[Total Tests Past]]</f>
        <v>0</v>
      </c>
      <c r="AF31" s="88">
        <v>67691</v>
      </c>
      <c r="AG31" s="74">
        <f>(Table1[[#This Row],[Total Tests Current]]/Table1[[#This Row],[Population]])*100000</f>
        <v>1005.478282866318</v>
      </c>
    </row>
    <row r="32" spans="1:33" x14ac:dyDescent="0.25">
      <c r="A32" s="63" t="s">
        <v>176</v>
      </c>
      <c r="B32" t="s">
        <v>154</v>
      </c>
      <c r="C32" s="24" t="s">
        <v>50</v>
      </c>
      <c r="D32" s="27">
        <v>2913314</v>
      </c>
      <c r="E32" s="75"/>
      <c r="F32" s="27">
        <f>Table1[[#This Row],[Social Index Current]]-Table1[[#This Row],[SD Past]]</f>
        <v>-27</v>
      </c>
      <c r="G32" s="75">
        <v>27</v>
      </c>
      <c r="H32" s="88">
        <v>1.0712011110205899</v>
      </c>
      <c r="I32" s="88">
        <v>1.0712011110205899</v>
      </c>
      <c r="J32" s="24">
        <f>Table1[[#This Row],[Rt Current]]-Table1[[#This Row],[Rt Past]]</f>
        <v>0</v>
      </c>
      <c r="K32" s="24">
        <f>VLOOKUP(Table1[[#This Row],[Rt Current]],$G$3:$I$12,3)*5</f>
        <v>35</v>
      </c>
      <c r="L32" s="24">
        <v>6.9233997901364113</v>
      </c>
      <c r="M32" s="88">
        <v>2704</v>
      </c>
      <c r="N32">
        <f>Table1[[#This Row],[Increase in Pos Tests Past]]-Table1[[#This Row],[Test Increase Current]]</f>
        <v>0</v>
      </c>
      <c r="O32" s="88">
        <v>2704</v>
      </c>
      <c r="P32" s="37">
        <f>Table1[[#This Row],[Test Increase Current]]/Table1[[#This Row],[Population]]*100000</f>
        <v>92.815261245440766</v>
      </c>
      <c r="Q32" s="77">
        <v>0.11806313583373357</v>
      </c>
      <c r="R32" s="78">
        <f>Table1[[#This Row],[TPR Current]]-Table1[[#This Row],[TPR Past]]</f>
        <v>0</v>
      </c>
      <c r="S32" s="77">
        <v>0.11806313583373357</v>
      </c>
      <c r="T32" s="24">
        <f>VLOOKUP(Table1[[#This Row],[TPR Current]],$J$3:$L$8,3)*5</f>
        <v>25</v>
      </c>
      <c r="U32" s="24">
        <f>SUM(Table1[[#This Row],[Stratified Test Positive Rate]]+Table1[[#This Row],[Stratified Rt]])</f>
        <v>60</v>
      </c>
      <c r="V32" s="88">
        <v>30</v>
      </c>
      <c r="W32" s="36">
        <f>Table1[[#This Row],[Weekly Deaths Current]]-Table1[[#This Row],[Weekly Deaths Past]]</f>
        <v>0</v>
      </c>
      <c r="X32" s="88">
        <v>30</v>
      </c>
      <c r="Y32" s="31">
        <f>Table1[[#This Row],[Weekly Deaths Current]]/Table1[[#This Row],[Population]]*100000</f>
        <v>1.0297551173680557</v>
      </c>
      <c r="Z32" s="88">
        <v>365</v>
      </c>
      <c r="AA32" s="24">
        <f>Table1[[#This Row],[Total Deaths Current]]-Table1[[#This Row],[Total Deaths Past]]</f>
        <v>0</v>
      </c>
      <c r="AB32" s="88">
        <v>365</v>
      </c>
      <c r="AC32" s="34">
        <f>Table1[[#This Row],[Total Deaths Current]]/Table1[[#This Row],[Population]]*100000</f>
        <v>12.528687261311344</v>
      </c>
      <c r="AD32" s="88">
        <v>22903</v>
      </c>
      <c r="AE32">
        <f>Table1[[#This Row],[Total Tests Current]]-Table1[[#This Row],[Total Tests Past]]</f>
        <v>0</v>
      </c>
      <c r="AF32" s="88">
        <v>22903</v>
      </c>
      <c r="AG32" s="74">
        <f>(Table1[[#This Row],[Total Tests Current]]/Table1[[#This Row],[Population]])*100000</f>
        <v>786.14938176935266</v>
      </c>
    </row>
    <row r="33" spans="1:33" x14ac:dyDescent="0.25">
      <c r="C33" s="36" t="s">
        <v>23</v>
      </c>
      <c r="D33" s="41">
        <v>4467673</v>
      </c>
      <c r="E33" s="75"/>
      <c r="F33" s="41">
        <f>Table1[[#This Row],[Social Index Current]]-Table1[[#This Row],[SD Past]]</f>
        <v>-26</v>
      </c>
      <c r="G33" s="75">
        <v>26</v>
      </c>
      <c r="H33" s="88">
        <v>1.0430189305683999</v>
      </c>
      <c r="I33" s="88">
        <v>1.0430189305683999</v>
      </c>
      <c r="J33" s="36">
        <f>Table1[[#This Row],[Rt Current]]-Table1[[#This Row],[Rt Past]]</f>
        <v>0</v>
      </c>
      <c r="K33" s="36">
        <f>VLOOKUP(Table1[[#This Row],[Rt Current]],$G$3:$I$12,3)*5</f>
        <v>35</v>
      </c>
      <c r="L33" s="36">
        <v>17.566308243727597</v>
      </c>
      <c r="M33" s="88">
        <v>3907</v>
      </c>
      <c r="N33">
        <f>Table1[[#This Row],[Increase in Pos Tests Past]]-Table1[[#This Row],[Test Increase Current]]</f>
        <v>0</v>
      </c>
      <c r="O33" s="88">
        <v>3907</v>
      </c>
      <c r="P33" s="23">
        <f>Table1[[#This Row],[Test Increase Current]]/Table1[[#This Row],[Population]]*100000</f>
        <v>87.450446798590676</v>
      </c>
      <c r="Q33" s="77">
        <v>7.3935999091648844E-2</v>
      </c>
      <c r="R33" s="78">
        <f>Table1[[#This Row],[TPR Current]]-Table1[[#This Row],[TPR Past]]</f>
        <v>0</v>
      </c>
      <c r="S33" s="77">
        <v>7.3935999091648844E-2</v>
      </c>
      <c r="T33" s="43">
        <f>VLOOKUP(Table1[[#This Row],[TPR Current]],$J$3:$L$8,3)*5</f>
        <v>25</v>
      </c>
      <c r="U33" s="43">
        <f>SUM(Table1[[#This Row],[Stratified Test Positive Rate]]+Table1[[#This Row],[Stratified Rt]])</f>
        <v>60</v>
      </c>
      <c r="V33" s="88">
        <v>35</v>
      </c>
      <c r="W33" s="36">
        <f>Table1[[#This Row],[Weekly Deaths Current]]-Table1[[#This Row],[Weekly Deaths Past]]</f>
        <v>0</v>
      </c>
      <c r="X33" s="88">
        <v>35</v>
      </c>
      <c r="Y33" s="44">
        <f>Table1[[#This Row],[Weekly Deaths Current]]/Table1[[#This Row],[Population]]*100000</f>
        <v>0.78340558944219951</v>
      </c>
      <c r="Z33" s="88">
        <v>744</v>
      </c>
      <c r="AA33" s="36">
        <f>Table1[[#This Row],[Total Deaths Current]]-Table1[[#This Row],[Total Deaths Past]]</f>
        <v>0</v>
      </c>
      <c r="AB33" s="88">
        <v>744</v>
      </c>
      <c r="AC33" s="49">
        <f>Table1[[#This Row],[Total Deaths Current]]/Table1[[#This Row],[Population]]*100000</f>
        <v>16.652964529857041</v>
      </c>
      <c r="AD33" s="88">
        <v>52843</v>
      </c>
      <c r="AE33">
        <f>Table1[[#This Row],[Total Tests Current]]-Table1[[#This Row],[Total Tests Past]]</f>
        <v>0</v>
      </c>
      <c r="AF33" s="88">
        <v>52843</v>
      </c>
      <c r="AG33" s="74">
        <f>(Table1[[#This Row],[Total Tests Current]]/Table1[[#This Row],[Population]])*100000</f>
        <v>1182.7857589398329</v>
      </c>
    </row>
    <row r="34" spans="1:33" x14ac:dyDescent="0.25">
      <c r="C34" s="36" t="s">
        <v>200</v>
      </c>
      <c r="D34" s="41">
        <v>4648794</v>
      </c>
      <c r="E34" s="75"/>
      <c r="F34" s="41">
        <f>Table1[[#This Row],[Social Index Current]]-Table1[[#This Row],[SD Past]]</f>
        <v>-37</v>
      </c>
      <c r="G34" s="75">
        <v>37</v>
      </c>
      <c r="H34" s="88">
        <v>0.93895130875600197</v>
      </c>
      <c r="I34" s="88">
        <v>0.93895130875600197</v>
      </c>
      <c r="J34" s="36">
        <f>Table1[[#This Row],[Rt Current]]-Table1[[#This Row],[Rt Past]]</f>
        <v>0</v>
      </c>
      <c r="K34" s="36">
        <f>VLOOKUP(Table1[[#This Row],[Rt Current]],$G$3:$I$12,3)*5</f>
        <v>15</v>
      </c>
      <c r="L34" s="36">
        <v>14.884194643530742</v>
      </c>
      <c r="M34" s="88">
        <v>10929</v>
      </c>
      <c r="N34">
        <f>Table1[[#This Row],[Increase in Pos Tests Past]]-Table1[[#This Row],[Test Increase Current]]</f>
        <v>0</v>
      </c>
      <c r="O34" s="88">
        <v>10929</v>
      </c>
      <c r="P34" s="23">
        <f>Table1[[#This Row],[Test Increase Current]]/Table1[[#This Row],[Population]]*100000</f>
        <v>235.0932306314283</v>
      </c>
      <c r="Q34" s="77">
        <v>8.162792782026769E-2</v>
      </c>
      <c r="R34" s="78">
        <f>Table1[[#This Row],[TPR Current]]-Table1[[#This Row],[TPR Past]]</f>
        <v>0</v>
      </c>
      <c r="S34" s="77">
        <v>8.162792782026769E-2</v>
      </c>
      <c r="T34" s="43">
        <f>VLOOKUP(Table1[[#This Row],[TPR Current]],$J$3:$L$8,3)*5</f>
        <v>25</v>
      </c>
      <c r="U34" s="43">
        <f>SUM(Table1[[#This Row],[Stratified Test Positive Rate]]+Table1[[#This Row],[Stratified Rt]])</f>
        <v>40</v>
      </c>
      <c r="V34" s="88">
        <v>238</v>
      </c>
      <c r="W34" s="36">
        <f>Table1[[#This Row],[Weekly Deaths Current]]-Table1[[#This Row],[Weekly Deaths Past]]</f>
        <v>0</v>
      </c>
      <c r="X34" s="88">
        <v>238</v>
      </c>
      <c r="Y34" s="44">
        <f>Table1[[#This Row],[Weekly Deaths Current]]/Table1[[#This Row],[Population]]*100000</f>
        <v>5.1196073648348364</v>
      </c>
      <c r="Z34" s="88">
        <v>4024</v>
      </c>
      <c r="AA34" s="36">
        <f>Table1[[#This Row],[Total Deaths Current]]-Table1[[#This Row],[Total Deaths Past]]</f>
        <v>0</v>
      </c>
      <c r="AB34" s="88">
        <v>4024</v>
      </c>
      <c r="AC34" s="49">
        <f>Table1[[#This Row],[Total Deaths Current]]/Table1[[#This Row],[Population]]*100000</f>
        <v>86.560084185274718</v>
      </c>
      <c r="AD34" s="88">
        <v>133888</v>
      </c>
      <c r="AE34">
        <f>Table1[[#This Row],[Total Tests Current]]-Table1[[#This Row],[Total Tests Past]]</f>
        <v>0</v>
      </c>
      <c r="AF34" s="88">
        <v>133888</v>
      </c>
      <c r="AG34" s="74">
        <f>(Table1[[#This Row],[Total Tests Current]]/Table1[[#This Row],[Population]])*100000</f>
        <v>2880.0587851386831</v>
      </c>
    </row>
    <row r="35" spans="1:33" x14ac:dyDescent="0.25">
      <c r="B35" t="s">
        <v>155</v>
      </c>
      <c r="C35" s="79" t="s">
        <v>24</v>
      </c>
      <c r="D35" s="80">
        <v>6892503</v>
      </c>
      <c r="E35" s="75"/>
      <c r="F35" s="80">
        <f>Table1[[#This Row],[Social Index Current]]-Table1[[#This Row],[SD Past]]</f>
        <v>-30</v>
      </c>
      <c r="G35" s="75">
        <v>30</v>
      </c>
      <c r="H35" s="88">
        <v>1.10804877749931</v>
      </c>
      <c r="I35" s="88">
        <v>1.10804877749931</v>
      </c>
      <c r="J35" s="79">
        <f>Table1[[#This Row],[Rt Current]]-Table1[[#This Row],[Rt Past]]</f>
        <v>0</v>
      </c>
      <c r="K35" s="79">
        <f>VLOOKUP(Table1[[#This Row],[Rt Current]],$G$3:$I$12,3)*5</f>
        <v>35</v>
      </c>
      <c r="L35" s="79">
        <v>6.598211184439041</v>
      </c>
      <c r="M35" s="88">
        <v>2731</v>
      </c>
      <c r="N35">
        <f>Table1[[#This Row],[Increase in Pos Tests Past]]-Table1[[#This Row],[Test Increase Current]]</f>
        <v>0</v>
      </c>
      <c r="O35" s="88">
        <v>2731</v>
      </c>
      <c r="P35" s="40">
        <f>Table1[[#This Row],[Test Increase Current]]/Table1[[#This Row],[Population]]*100000</f>
        <v>39.622761136266462</v>
      </c>
      <c r="Q35" s="77">
        <v>2.8538586133026803E-2</v>
      </c>
      <c r="R35" s="78">
        <f>Table1[[#This Row],[TPR Current]]-Table1[[#This Row],[TPR Past]]</f>
        <v>0</v>
      </c>
      <c r="S35" s="77">
        <v>2.8538586133026803E-2</v>
      </c>
      <c r="T35" s="79">
        <f>VLOOKUP(Table1[[#This Row],[TPR Current]],$J$3:$L$8,3)*5</f>
        <v>10</v>
      </c>
      <c r="U35" s="79">
        <f>SUM(Table1[[#This Row],[Stratified Test Positive Rate]]+Table1[[#This Row],[Stratified Rt]])</f>
        <v>45</v>
      </c>
      <c r="V35" s="88">
        <v>112</v>
      </c>
      <c r="W35" s="36">
        <f>Table1[[#This Row],[Weekly Deaths Current]]-Table1[[#This Row],[Weekly Deaths Past]]</f>
        <v>0</v>
      </c>
      <c r="X35" s="88">
        <v>112</v>
      </c>
      <c r="Y35" s="81">
        <f>Table1[[#This Row],[Weekly Deaths Current]]/Table1[[#This Row],[Population]]*100000</f>
        <v>1.624953953592766</v>
      </c>
      <c r="Z35" s="88">
        <v>8648</v>
      </c>
      <c r="AA35" s="79">
        <f>Table1[[#This Row],[Total Deaths Current]]-Table1[[#This Row],[Total Deaths Past]]</f>
        <v>0</v>
      </c>
      <c r="AB35" s="88">
        <v>8648</v>
      </c>
      <c r="AC35" s="82">
        <f>Table1[[#This Row],[Total Deaths Current]]/Table1[[#This Row],[Population]]*100000</f>
        <v>125.46965884527</v>
      </c>
      <c r="AD35" s="88">
        <v>95695</v>
      </c>
      <c r="AE35">
        <f>Table1[[#This Row],[Total Tests Current]]-Table1[[#This Row],[Total Tests Past]]</f>
        <v>0</v>
      </c>
      <c r="AF35" s="88">
        <v>95695</v>
      </c>
      <c r="AG35" s="74">
        <f>(Table1[[#This Row],[Total Tests Current]]/Table1[[#This Row],[Population]])*100000</f>
        <v>1388.3925766880334</v>
      </c>
    </row>
    <row r="36" spans="1:33" x14ac:dyDescent="0.25">
      <c r="A36" t="s">
        <v>177</v>
      </c>
      <c r="B36" t="s">
        <v>156</v>
      </c>
      <c r="C36" s="79" t="s">
        <v>25</v>
      </c>
      <c r="D36" s="80">
        <v>6045680</v>
      </c>
      <c r="E36" s="75"/>
      <c r="F36" s="80">
        <f>Table1[[#This Row],[Social Index Current]]-Table1[[#This Row],[SD Past]]</f>
        <v>-33</v>
      </c>
      <c r="G36" s="75">
        <v>33</v>
      </c>
      <c r="H36" s="88">
        <v>1.0476161877500401</v>
      </c>
      <c r="I36" s="88">
        <v>1.0476161877500401</v>
      </c>
      <c r="J36" s="79">
        <f>Table1[[#This Row],[Rt Current]]-Table1[[#This Row],[Rt Past]]</f>
        <v>0</v>
      </c>
      <c r="K36" s="79">
        <f>VLOOKUP(Table1[[#This Row],[Rt Current]],$G$3:$I$12,3)*5</f>
        <v>35</v>
      </c>
      <c r="L36" s="79">
        <v>4.4865041928721174</v>
      </c>
      <c r="M36" s="88">
        <v>6268</v>
      </c>
      <c r="N36">
        <f>Table1[[#This Row],[Increase in Pos Tests Past]]-Table1[[#This Row],[Test Increase Current]]</f>
        <v>0</v>
      </c>
      <c r="O36" s="88">
        <v>6268</v>
      </c>
      <c r="P36" s="40">
        <f>Table1[[#This Row],[Test Increase Current]]/Table1[[#This Row],[Population]]*100000</f>
        <v>103.67733654444164</v>
      </c>
      <c r="Q36" s="77">
        <v>5.9627660080480219E-2</v>
      </c>
      <c r="R36" s="78">
        <f>Table1[[#This Row],[TPR Current]]-Table1[[#This Row],[TPR Past]]</f>
        <v>0</v>
      </c>
      <c r="S36" s="77">
        <v>5.9627660080480219E-2</v>
      </c>
      <c r="T36" s="79">
        <f>VLOOKUP(Table1[[#This Row],[TPR Current]],$J$3:$L$8,3)*5</f>
        <v>15</v>
      </c>
      <c r="U36" s="79">
        <f>SUM(Table1[[#This Row],[Stratified Test Positive Rate]]+Table1[[#This Row],[Stratified Rt]])</f>
        <v>50</v>
      </c>
      <c r="V36" s="88">
        <v>76</v>
      </c>
      <c r="W36" s="36">
        <f>Table1[[#This Row],[Weekly Deaths Current]]-Table1[[#This Row],[Weekly Deaths Past]]</f>
        <v>0</v>
      </c>
      <c r="X36" s="88">
        <v>76</v>
      </c>
      <c r="Y36" s="81">
        <f>Table1[[#This Row],[Weekly Deaths Current]]/Table1[[#This Row],[Population]]*100000</f>
        <v>1.2570959759696179</v>
      </c>
      <c r="Z36" s="88">
        <v>3523</v>
      </c>
      <c r="AA36" s="79">
        <f>Table1[[#This Row],[Total Deaths Current]]-Table1[[#This Row],[Total Deaths Past]]</f>
        <v>0</v>
      </c>
      <c r="AB36" s="88">
        <v>3523</v>
      </c>
      <c r="AC36" s="82">
        <f>Table1[[#This Row],[Total Deaths Current]]/Table1[[#This Row],[Population]]*100000</f>
        <v>58.273014780802164</v>
      </c>
      <c r="AD36" s="88">
        <v>105119</v>
      </c>
      <c r="AE36">
        <f>Table1[[#This Row],[Total Tests Current]]-Table1[[#This Row],[Total Tests Past]]</f>
        <v>0</v>
      </c>
      <c r="AF36" s="88">
        <v>105119</v>
      </c>
      <c r="AG36" s="74">
        <f>(Table1[[#This Row],[Total Tests Current]]/Table1[[#This Row],[Population]])*100000</f>
        <v>1738.7456828677666</v>
      </c>
    </row>
    <row r="37" spans="1:33" x14ac:dyDescent="0.25">
      <c r="A37" t="s">
        <v>178</v>
      </c>
      <c r="C37" s="37" t="s">
        <v>52</v>
      </c>
      <c r="D37" s="22">
        <v>1344212</v>
      </c>
      <c r="E37" s="75"/>
      <c r="F37" s="56">
        <f>Table1[[#This Row],[Social Index Current]]-Table1[[#This Row],[SD Past]]</f>
        <v>-24</v>
      </c>
      <c r="G37" s="75">
        <v>24</v>
      </c>
      <c r="H37" s="88">
        <v>0.97583241775441298</v>
      </c>
      <c r="I37" s="88">
        <v>0.97583241775441298</v>
      </c>
      <c r="J37" s="37">
        <f>Table1[[#This Row],[Rt Current]]-Table1[[#This Row],[Rt Past]]</f>
        <v>0</v>
      </c>
      <c r="K37" s="37">
        <f>VLOOKUP(Table1[[#This Row],[Rt Current]],$G$3:$I$12,3)*5</f>
        <v>15</v>
      </c>
      <c r="L37" s="37">
        <v>11.834042553191489</v>
      </c>
      <c r="M37" s="88">
        <v>138</v>
      </c>
      <c r="N37">
        <f>Table1[[#This Row],[Increase in Pos Tests Past]]-Table1[[#This Row],[Test Increase Current]]</f>
        <v>0</v>
      </c>
      <c r="O37" s="88">
        <v>138</v>
      </c>
      <c r="P37" s="37">
        <f>Table1[[#This Row],[Test Increase Current]]/Table1[[#This Row],[Population]]*100000</f>
        <v>10.266237766066661</v>
      </c>
      <c r="Q37" s="77">
        <v>8.2614942528735635E-3</v>
      </c>
      <c r="R37" s="78">
        <f>Table1[[#This Row],[TPR Current]]-Table1[[#This Row],[TPR Past]]</f>
        <v>0</v>
      </c>
      <c r="S37" s="77">
        <v>8.2614942528735635E-3</v>
      </c>
      <c r="T37" s="37">
        <f>VLOOKUP(Table1[[#This Row],[TPR Current]],$J$3:$L$8,3)*5</f>
        <v>10</v>
      </c>
      <c r="U37" s="37">
        <f>SUM(Table1[[#This Row],[Stratified Test Positive Rate]]+Table1[[#This Row],[Stratified Rt]])</f>
        <v>25</v>
      </c>
      <c r="V37" s="88">
        <v>5</v>
      </c>
      <c r="W37" s="36">
        <f>Table1[[#This Row],[Weekly Deaths Current]]-Table1[[#This Row],[Weekly Deaths Past]]</f>
        <v>0</v>
      </c>
      <c r="X37" s="88">
        <v>5</v>
      </c>
      <c r="Y37" s="45">
        <f>Table1[[#This Row],[Weekly Deaths Current]]/Table1[[#This Row],[Population]]*100000</f>
        <v>0.37196513645169066</v>
      </c>
      <c r="Z37" s="88">
        <v>124</v>
      </c>
      <c r="AA37" s="37">
        <f>Table1[[#This Row],[Total Deaths Current]]-Table1[[#This Row],[Total Deaths Past]]</f>
        <v>0</v>
      </c>
      <c r="AB37" s="88">
        <v>124</v>
      </c>
      <c r="AC37" s="50">
        <f>Table1[[#This Row],[Total Deaths Current]]/Table1[[#This Row],[Population]]*100000</f>
        <v>9.2247353840019279</v>
      </c>
      <c r="AD37" s="88">
        <v>16704</v>
      </c>
      <c r="AE37">
        <f>Table1[[#This Row],[Total Tests Current]]-Table1[[#This Row],[Total Tests Past]]</f>
        <v>0</v>
      </c>
      <c r="AF37" s="88">
        <v>16704</v>
      </c>
      <c r="AG37" s="74">
        <f>(Table1[[#This Row],[Total Tests Current]]/Table1[[#This Row],[Population]])*100000</f>
        <v>1242.6611278578082</v>
      </c>
    </row>
    <row r="38" spans="1:33" x14ac:dyDescent="0.25">
      <c r="C38" s="60" t="s">
        <v>201</v>
      </c>
      <c r="D38" s="61">
        <v>9986857</v>
      </c>
      <c r="E38" s="75"/>
      <c r="F38" s="61">
        <f>Table1[[#This Row],[Social Index Current]]-Table1[[#This Row],[SD Past]]</f>
        <v>-26</v>
      </c>
      <c r="G38" s="75">
        <v>26</v>
      </c>
      <c r="H38" s="88">
        <v>0.97580521858654101</v>
      </c>
      <c r="I38" s="88">
        <v>0.97580521858654101</v>
      </c>
      <c r="J38" s="60">
        <f>Table1[[#This Row],[Rt Current]]-Table1[[#This Row],[Rt Past]]</f>
        <v>0</v>
      </c>
      <c r="K38" s="60">
        <f>VLOOKUP(Table1[[#This Row],[Rt Current]],$G$3:$I$12,3)*5</f>
        <v>15</v>
      </c>
      <c r="L38" s="60">
        <v>15.653855167565034</v>
      </c>
      <c r="M38" s="88">
        <v>5201</v>
      </c>
      <c r="N38">
        <f>Table1[[#This Row],[Increase in Pos Tests Past]]-Table1[[#This Row],[Test Increase Current]]</f>
        <v>0</v>
      </c>
      <c r="O38" s="88">
        <v>5201</v>
      </c>
      <c r="P38" s="39">
        <f>Table1[[#This Row],[Test Increase Current]]/Table1[[#This Row],[Population]]*100000</f>
        <v>52.078446702501097</v>
      </c>
      <c r="Q38" s="77">
        <v>2.2979313757544161E-2</v>
      </c>
      <c r="R38" s="78">
        <f>Table1[[#This Row],[TPR Current]]-Table1[[#This Row],[TPR Past]]</f>
        <v>0</v>
      </c>
      <c r="S38" s="77">
        <v>2.2979313757544161E-2</v>
      </c>
      <c r="T38" s="60">
        <f>VLOOKUP(Table1[[#This Row],[TPR Current]],$J$3:$L$8,3)*5</f>
        <v>10</v>
      </c>
      <c r="U38" s="60">
        <f>SUM(Table1[[#This Row],[Stratified Test Positive Rate]]+Table1[[#This Row],[Stratified Rt]])</f>
        <v>25</v>
      </c>
      <c r="V38" s="88">
        <v>58</v>
      </c>
      <c r="W38" s="36">
        <f>Table1[[#This Row],[Weekly Deaths Current]]-Table1[[#This Row],[Weekly Deaths Past]]</f>
        <v>0</v>
      </c>
      <c r="X38" s="88">
        <v>58</v>
      </c>
      <c r="Y38" s="76">
        <f>Table1[[#This Row],[Weekly Deaths Current]]/Table1[[#This Row],[Population]]*100000</f>
        <v>0.58076329720151199</v>
      </c>
      <c r="Z38" s="88">
        <v>6463</v>
      </c>
      <c r="AA38" s="60">
        <f>Table1[[#This Row],[Total Deaths Current]]-Table1[[#This Row],[Total Deaths Past]]</f>
        <v>0</v>
      </c>
      <c r="AB38" s="88">
        <v>6463</v>
      </c>
      <c r="AC38" s="62">
        <f>Table1[[#This Row],[Total Deaths Current]]/Table1[[#This Row],[Population]]*100000</f>
        <v>64.715054996782271</v>
      </c>
      <c r="AD38" s="88">
        <v>226334</v>
      </c>
      <c r="AE38">
        <f>Table1[[#This Row],[Total Tests Current]]-Table1[[#This Row],[Total Tests Past]]</f>
        <v>0</v>
      </c>
      <c r="AF38" s="88">
        <v>226334</v>
      </c>
      <c r="AG38" s="74">
        <f>(Table1[[#This Row],[Total Tests Current]]/Table1[[#This Row],[Population]])*100000</f>
        <v>2266.3186225656382</v>
      </c>
    </row>
    <row r="39" spans="1:33" ht="45" x14ac:dyDescent="0.25">
      <c r="A39" s="63" t="s">
        <v>179</v>
      </c>
      <c r="C39" s="24" t="s">
        <v>63</v>
      </c>
      <c r="D39" s="27">
        <v>5639632</v>
      </c>
      <c r="E39" s="75"/>
      <c r="F39" s="27">
        <f>Table1[[#This Row],[Social Index Current]]-Table1[[#This Row],[SD Past]]</f>
        <v>-29</v>
      </c>
      <c r="G39" s="75">
        <v>29</v>
      </c>
      <c r="H39" s="88">
        <v>1.07437579663226</v>
      </c>
      <c r="I39" s="88">
        <v>1.07437579663226</v>
      </c>
      <c r="J39" s="24">
        <f>Table1[[#This Row],[Rt Current]]-Table1[[#This Row],[Rt Past]]</f>
        <v>0</v>
      </c>
      <c r="K39" s="24">
        <f>VLOOKUP(Table1[[#This Row],[Rt Current]],$G$3:$I$12,3)*5</f>
        <v>35</v>
      </c>
      <c r="L39" s="24">
        <v>6.4187751241428233</v>
      </c>
      <c r="M39" s="88">
        <v>4757</v>
      </c>
      <c r="N39">
        <f>Table1[[#This Row],[Increase in Pos Tests Past]]-Table1[[#This Row],[Test Increase Current]]</f>
        <v>0</v>
      </c>
      <c r="O39" s="88">
        <v>4757</v>
      </c>
      <c r="P39" s="37">
        <f>Table1[[#This Row],[Test Increase Current]]/Table1[[#This Row],[Population]]*100000</f>
        <v>84.349475284912216</v>
      </c>
      <c r="Q39" s="77">
        <v>-4.818581471201961E-2</v>
      </c>
      <c r="R39" s="78">
        <f>Table1[[#This Row],[TPR Current]]-Table1[[#This Row],[TPR Past]]</f>
        <v>0</v>
      </c>
      <c r="S39" s="77">
        <v>-4.818581471201961E-2</v>
      </c>
      <c r="T39" s="24" t="e">
        <f>VLOOKUP(Table1[[#This Row],[TPR Current]],$J$3:$L$8,3)*5</f>
        <v>#N/A</v>
      </c>
      <c r="U39" s="24" t="e">
        <f>SUM(Table1[[#This Row],[Stratified Test Positive Rate]]+Table1[[#This Row],[Stratified Rt]])</f>
        <v>#N/A</v>
      </c>
      <c r="V39" s="88">
        <v>40</v>
      </c>
      <c r="W39" s="36">
        <f>Table1[[#This Row],[Weekly Deaths Current]]-Table1[[#This Row],[Weekly Deaths Past]]</f>
        <v>0</v>
      </c>
      <c r="X39" s="88">
        <v>40</v>
      </c>
      <c r="Y39" s="31">
        <f>Table1[[#This Row],[Weekly Deaths Current]]/Table1[[#This Row],[Population]]*100000</f>
        <v>0.70926613651387183</v>
      </c>
      <c r="Z39" s="88">
        <v>1656</v>
      </c>
      <c r="AA39" s="24">
        <f>Table1[[#This Row],[Total Deaths Current]]-Table1[[#This Row],[Total Deaths Past]]</f>
        <v>0</v>
      </c>
      <c r="AB39" s="88">
        <v>1656</v>
      </c>
      <c r="AC39" s="34">
        <f>Table1[[#This Row],[Total Deaths Current]]/Table1[[#This Row],[Population]]*100000</f>
        <v>29.363618051674294</v>
      </c>
      <c r="AD39" s="88">
        <v>-98722</v>
      </c>
      <c r="AE39">
        <f>Table1[[#This Row],[Total Tests Current]]-Table1[[#This Row],[Total Tests Past]]</f>
        <v>0</v>
      </c>
      <c r="AF39" s="88">
        <v>-98722</v>
      </c>
      <c r="AG39" s="74">
        <f>(Table1[[#This Row],[Total Tests Current]]/Table1[[#This Row],[Population]])*100000</f>
        <v>-1750.5042882230614</v>
      </c>
    </row>
    <row r="40" spans="1:33" ht="60" x14ac:dyDescent="0.25">
      <c r="A40" s="63" t="s">
        <v>180</v>
      </c>
      <c r="B40" t="s">
        <v>157</v>
      </c>
      <c r="C40" s="36" t="s">
        <v>53</v>
      </c>
      <c r="D40" s="41">
        <v>6137428</v>
      </c>
      <c r="E40" s="75"/>
      <c r="F40" s="41">
        <f>Table1[[#This Row],[Social Index Current]]-Table1[[#This Row],[SD Past]]</f>
        <v>-26</v>
      </c>
      <c r="G40" s="75">
        <v>26</v>
      </c>
      <c r="H40" s="88">
        <v>1.22029376627693</v>
      </c>
      <c r="I40" s="88">
        <v>1.22029376627693</v>
      </c>
      <c r="J40" s="36">
        <f>Table1[[#This Row],[Rt Current]]-Table1[[#This Row],[Rt Past]]</f>
        <v>0</v>
      </c>
      <c r="K40" s="36">
        <f>VLOOKUP(Table1[[#This Row],[Rt Current]],$G$3:$I$12,3)*5</f>
        <v>35</v>
      </c>
      <c r="L40" s="36">
        <v>12.892074198988196</v>
      </c>
      <c r="M40" s="88">
        <v>9837</v>
      </c>
      <c r="N40">
        <f>Table1[[#This Row],[Increase in Pos Tests Past]]-Table1[[#This Row],[Test Increase Current]]</f>
        <v>0</v>
      </c>
      <c r="O40" s="88">
        <v>9837</v>
      </c>
      <c r="P40" s="23">
        <f>Table1[[#This Row],[Test Increase Current]]/Table1[[#This Row],[Population]]*100000</f>
        <v>160.27886600054615</v>
      </c>
      <c r="Q40" s="77">
        <v>0.13846348741624909</v>
      </c>
      <c r="R40" s="78">
        <f>Table1[[#This Row],[TPR Current]]-Table1[[#This Row],[TPR Past]]</f>
        <v>0</v>
      </c>
      <c r="S40" s="77">
        <v>0.13846348741624909</v>
      </c>
      <c r="T40" s="43">
        <f>VLOOKUP(Table1[[#This Row],[TPR Current]],$J$3:$L$8,3)*5</f>
        <v>40</v>
      </c>
      <c r="U40" s="43">
        <f>SUM(Table1[[#This Row],[Stratified Test Positive Rate]]+Table1[[#This Row],[Stratified Rt]])</f>
        <v>75</v>
      </c>
      <c r="V40" s="88">
        <v>54</v>
      </c>
      <c r="W40" s="36">
        <f>Table1[[#This Row],[Weekly Deaths Current]]-Table1[[#This Row],[Weekly Deaths Past]]</f>
        <v>0</v>
      </c>
      <c r="X40" s="88">
        <v>54</v>
      </c>
      <c r="Y40" s="44">
        <f>Table1[[#This Row],[Weekly Deaths Current]]/Table1[[#This Row],[Population]]*100000</f>
        <v>0.87984738884105851</v>
      </c>
      <c r="Z40" s="88">
        <v>1255</v>
      </c>
      <c r="AA40" s="36">
        <f>Table1[[#This Row],[Total Deaths Current]]-Table1[[#This Row],[Total Deaths Past]]</f>
        <v>0</v>
      </c>
      <c r="AB40" s="88">
        <v>1255</v>
      </c>
      <c r="AC40" s="49">
        <f>Table1[[#This Row],[Total Deaths Current]]/Table1[[#This Row],[Population]]*100000</f>
        <v>20.448305055472748</v>
      </c>
      <c r="AD40" s="88">
        <v>71044</v>
      </c>
      <c r="AE40">
        <f>Table1[[#This Row],[Total Tests Current]]-Table1[[#This Row],[Total Tests Past]]</f>
        <v>0</v>
      </c>
      <c r="AF40" s="88">
        <v>71044</v>
      </c>
      <c r="AG40" s="74">
        <f>(Table1[[#This Row],[Total Tests Current]]/Table1[[#This Row],[Population]])*100000</f>
        <v>1157.5532943115586</v>
      </c>
    </row>
    <row r="41" spans="1:33" x14ac:dyDescent="0.25">
      <c r="A41" t="s">
        <v>181</v>
      </c>
      <c r="C41" s="24" t="s">
        <v>208</v>
      </c>
      <c r="D41" s="27">
        <v>2976149</v>
      </c>
      <c r="E41" s="75"/>
      <c r="F41" s="27">
        <f>Table1[[#This Row],[Social Index Current]]-Table1[[#This Row],[SD Past]]</f>
        <v>-30</v>
      </c>
      <c r="G41" s="75">
        <v>30</v>
      </c>
      <c r="H41" s="88">
        <v>1.0617241140886899</v>
      </c>
      <c r="I41" s="88">
        <v>1.0617241140886899</v>
      </c>
      <c r="J41" s="24">
        <f>Table1[[#This Row],[Rt Current]]-Table1[[#This Row],[Rt Past]]</f>
        <v>0</v>
      </c>
      <c r="K41" s="24">
        <f>VLOOKUP(Table1[[#This Row],[Rt Current]],$G$3:$I$12,3)*5</f>
        <v>35</v>
      </c>
      <c r="L41" s="24">
        <v>7.721539283805452</v>
      </c>
      <c r="M41" s="88">
        <v>8168</v>
      </c>
      <c r="N41">
        <f>Table1[[#This Row],[Increase in Pos Tests Past]]-Table1[[#This Row],[Test Increase Current]]</f>
        <v>0</v>
      </c>
      <c r="O41" s="88">
        <v>8168</v>
      </c>
      <c r="P41" s="37">
        <f>Table1[[#This Row],[Test Increase Current]]/Table1[[#This Row],[Population]]*100000</f>
        <v>274.44862471603403</v>
      </c>
      <c r="Q41" s="77">
        <v>0.23257403189066059</v>
      </c>
      <c r="R41" s="78">
        <f>Table1[[#This Row],[TPR Current]]-Table1[[#This Row],[TPR Past]]</f>
        <v>0</v>
      </c>
      <c r="S41" s="77">
        <v>0.23257403189066059</v>
      </c>
      <c r="T41" s="24">
        <f>VLOOKUP(Table1[[#This Row],[TPR Current]],$J$3:$L$8,3)*5</f>
        <v>50</v>
      </c>
      <c r="U41" s="24">
        <f>SUM(Table1[[#This Row],[Stratified Test Positive Rate]]+Table1[[#This Row],[Stratified Rt]])</f>
        <v>85</v>
      </c>
      <c r="V41" s="88">
        <v>210</v>
      </c>
      <c r="W41" s="36">
        <f>Table1[[#This Row],[Weekly Deaths Current]]-Table1[[#This Row],[Weekly Deaths Past]]</f>
        <v>0</v>
      </c>
      <c r="X41" s="88">
        <v>210</v>
      </c>
      <c r="Y41" s="31">
        <f>Table1[[#This Row],[Weekly Deaths Current]]/Table1[[#This Row],[Population]]*100000</f>
        <v>7.0560983337863803</v>
      </c>
      <c r="Z41" s="88">
        <v>1711</v>
      </c>
      <c r="AA41" s="24">
        <f>Table1[[#This Row],[Total Deaths Current]]-Table1[[#This Row],[Total Deaths Past]]</f>
        <v>0</v>
      </c>
      <c r="AB41" s="88">
        <v>1711</v>
      </c>
      <c r="AC41" s="34">
        <f>Table1[[#This Row],[Total Deaths Current]]/Table1[[#This Row],[Population]]*100000</f>
        <v>57.490401186230933</v>
      </c>
      <c r="AD41" s="88">
        <v>35120</v>
      </c>
      <c r="AE41">
        <f>Table1[[#This Row],[Total Tests Current]]-Table1[[#This Row],[Total Tests Past]]</f>
        <v>0</v>
      </c>
      <c r="AF41" s="88">
        <v>35120</v>
      </c>
      <c r="AG41" s="74">
        <f>(Table1[[#This Row],[Total Tests Current]]/Table1[[#This Row],[Population]])*100000</f>
        <v>1180.0484451551317</v>
      </c>
    </row>
    <row r="42" spans="1:33" x14ac:dyDescent="0.25">
      <c r="C42" s="36" t="s">
        <v>64</v>
      </c>
      <c r="D42" s="41">
        <v>1068778</v>
      </c>
      <c r="E42" s="75"/>
      <c r="F42" s="41">
        <f>Table1[[#This Row],[Social Index Current]]-Table1[[#This Row],[SD Past]]</f>
        <v>-26</v>
      </c>
      <c r="G42" s="75">
        <v>26</v>
      </c>
      <c r="H42" s="88">
        <v>1.13373394941206</v>
      </c>
      <c r="I42" s="88">
        <v>1.13373394941206</v>
      </c>
      <c r="J42" s="36">
        <f>Table1[[#This Row],[Rt Current]]-Table1[[#This Row],[Rt Past]]</f>
        <v>0</v>
      </c>
      <c r="K42" s="36">
        <f>VLOOKUP(Table1[[#This Row],[Rt Current]],$G$3:$I$12,3)*5</f>
        <v>35</v>
      </c>
      <c r="L42" s="36">
        <v>2111</v>
      </c>
      <c r="M42" s="88">
        <v>852</v>
      </c>
      <c r="N42">
        <f>Table1[[#This Row],[Increase in Pos Tests Past]]-Table1[[#This Row],[Test Increase Current]]</f>
        <v>0</v>
      </c>
      <c r="O42" s="88">
        <v>852</v>
      </c>
      <c r="P42" s="23">
        <f>Table1[[#This Row],[Test Increase Current]]/Table1[[#This Row],[Population]]*100000</f>
        <v>79.717209747955138</v>
      </c>
      <c r="Q42" s="77">
        <v>4.0857430585527266E-2</v>
      </c>
      <c r="R42" s="78">
        <f>Table1[[#This Row],[TPR Current]]-Table1[[#This Row],[TPR Past]]</f>
        <v>0</v>
      </c>
      <c r="S42" s="77">
        <v>4.0857430585527266E-2</v>
      </c>
      <c r="T42" s="43">
        <f>VLOOKUP(Table1[[#This Row],[TPR Current]],$J$3:$L$8,3)*5</f>
        <v>15</v>
      </c>
      <c r="U42" s="43">
        <f>SUM(Table1[[#This Row],[Stratified Test Positive Rate]]+Table1[[#This Row],[Stratified Rt]])</f>
        <v>50</v>
      </c>
      <c r="V42" s="88">
        <v>17</v>
      </c>
      <c r="W42" s="36">
        <f>Table1[[#This Row],[Weekly Deaths Current]]-Table1[[#This Row],[Weekly Deaths Past]]</f>
        <v>0</v>
      </c>
      <c r="X42" s="88">
        <v>17</v>
      </c>
      <c r="Y42" s="86">
        <f>Table1[[#This Row],[Weekly Deaths Current]]/Table1[[#This Row],[Population]]*100000</f>
        <v>1.5906016029521566</v>
      </c>
      <c r="Z42" s="88">
        <v>64</v>
      </c>
      <c r="AA42" s="36">
        <f>Table1[[#This Row],[Total Deaths Current]]-Table1[[#This Row],[Total Deaths Past]]</f>
        <v>0</v>
      </c>
      <c r="AB42" s="88">
        <v>64</v>
      </c>
      <c r="AC42" s="49">
        <f>Table1[[#This Row],[Total Deaths Current]]/Table1[[#This Row],[Population]]*100000</f>
        <v>5.9881472111140015</v>
      </c>
      <c r="AD42" s="88">
        <v>20853</v>
      </c>
      <c r="AE42">
        <f>Table1[[#This Row],[Total Tests Current]]-Table1[[#This Row],[Total Tests Past]]</f>
        <v>0</v>
      </c>
      <c r="AF42" s="88">
        <v>20853</v>
      </c>
      <c r="AG42" s="74">
        <f>(Table1[[#This Row],[Total Tests Current]]/Table1[[#This Row],[Population]])*100000</f>
        <v>1951.1067780212541</v>
      </c>
    </row>
    <row r="43" spans="1:33" x14ac:dyDescent="0.25">
      <c r="B43" t="s">
        <v>158</v>
      </c>
      <c r="C43" s="23" t="s">
        <v>209</v>
      </c>
      <c r="D43" s="26">
        <v>10488084</v>
      </c>
      <c r="E43" s="75"/>
      <c r="F43" s="57">
        <f>Table1[[#This Row],[Social Index Current]]-Table1[[#This Row],[SD Past]]</f>
        <v>-27</v>
      </c>
      <c r="G43" s="75">
        <v>27</v>
      </c>
      <c r="H43" s="88">
        <v>0.95267220510524298</v>
      </c>
      <c r="I43" s="88">
        <v>0.95267220510524298</v>
      </c>
      <c r="J43" s="23">
        <f>Table1[[#This Row],[Rt Current]]-Table1[[#This Row],[Rt Past]]</f>
        <v>0</v>
      </c>
      <c r="K43" s="23">
        <f>VLOOKUP(Table1[[#This Row],[Rt Current]],$G$3:$I$12,3)*5</f>
        <v>15</v>
      </c>
      <c r="L43" s="23">
        <v>14.990304709141274</v>
      </c>
      <c r="M43" s="88">
        <v>12194</v>
      </c>
      <c r="N43">
        <f>Table1[[#This Row],[Increase in Pos Tests Past]]-Table1[[#This Row],[Test Increase Current]]</f>
        <v>0</v>
      </c>
      <c r="O43" s="88">
        <v>12194</v>
      </c>
      <c r="P43" s="23">
        <f>Table1[[#This Row],[Test Increase Current]]/Table1[[#This Row],[Population]]*100000</f>
        <v>116.26527781432719</v>
      </c>
      <c r="Q43" s="77">
        <v>6.0386066734675684E-2</v>
      </c>
      <c r="R43" s="78">
        <f>Table1[[#This Row],[TPR Current]]-Table1[[#This Row],[TPR Past]]</f>
        <v>0</v>
      </c>
      <c r="S43" s="77">
        <v>6.0386066734675684E-2</v>
      </c>
      <c r="T43" s="29">
        <f>VLOOKUP(Table1[[#This Row],[TPR Current]],$J$3:$L$8,3)*5</f>
        <v>15</v>
      </c>
      <c r="U43" s="29">
        <f>SUM(Table1[[#This Row],[Stratified Test Positive Rate]]+Table1[[#This Row],[Stratified Rt]])</f>
        <v>30</v>
      </c>
      <c r="V43" s="88">
        <v>192</v>
      </c>
      <c r="W43" s="36">
        <f>Table1[[#This Row],[Weekly Deaths Current]]-Table1[[#This Row],[Weekly Deaths Past]]</f>
        <v>0</v>
      </c>
      <c r="X43" s="88">
        <v>192</v>
      </c>
      <c r="Y43" s="30">
        <f>Table1[[#This Row],[Weekly Deaths Current]]/Table1[[#This Row],[Population]]*100000</f>
        <v>1.8306489536124997</v>
      </c>
      <c r="Z43" s="88">
        <v>1982</v>
      </c>
      <c r="AA43" s="23">
        <f>Table1[[#This Row],[Total Deaths Current]]-Table1[[#This Row],[Total Deaths Past]]</f>
        <v>0</v>
      </c>
      <c r="AB43" s="88">
        <v>1982</v>
      </c>
      <c r="AC43" s="33">
        <f>Table1[[#This Row],[Total Deaths Current]]/Table1[[#This Row],[Population]]*100000</f>
        <v>18.897636594062366</v>
      </c>
      <c r="AD43" s="88">
        <v>201934</v>
      </c>
      <c r="AE43">
        <f>Table1[[#This Row],[Total Tests Current]]-Table1[[#This Row],[Total Tests Past]]</f>
        <v>0</v>
      </c>
      <c r="AF43" s="88">
        <v>201934</v>
      </c>
      <c r="AG43" s="74">
        <f>(Table1[[#This Row],[Total Tests Current]]/Table1[[#This Row],[Population]])*100000</f>
        <v>1925.365967702013</v>
      </c>
    </row>
    <row r="44" spans="1:33" x14ac:dyDescent="0.25">
      <c r="C44" s="38" t="s">
        <v>65</v>
      </c>
      <c r="D44" s="42">
        <v>762062</v>
      </c>
      <c r="E44" s="75"/>
      <c r="F44" s="42">
        <f>Table1[[#This Row],[Social Index Current]]-Table1[[#This Row],[SD Past]]</f>
        <v>-26</v>
      </c>
      <c r="G44" s="75">
        <v>26</v>
      </c>
      <c r="H44" s="100">
        <v>1.1086785098043099</v>
      </c>
      <c r="I44" s="100">
        <v>1.1086785098043099</v>
      </c>
      <c r="J44" s="38">
        <f>Table1[[#This Row],[Rt Current]]-Table1[[#This Row],[Rt Past]]</f>
        <v>0</v>
      </c>
      <c r="K44" s="38">
        <f>VLOOKUP(Table1[[#This Row],[Rt Current]],$G$3:$I$12,3)*5</f>
        <v>35</v>
      </c>
      <c r="L44" s="38">
        <v>44.101973684210527</v>
      </c>
      <c r="M44" s="88">
        <v>799</v>
      </c>
      <c r="N44">
        <f>Table1[[#This Row],[Increase in Pos Tests Past]]-Table1[[#This Row],[Test Increase Current]]</f>
        <v>0</v>
      </c>
      <c r="O44" s="88">
        <v>799</v>
      </c>
      <c r="P44" s="25">
        <f>Table1[[#This Row],[Test Increase Current]]/Table1[[#This Row],[Population]]*100000</f>
        <v>104.84711217722442</v>
      </c>
      <c r="Q44" s="77">
        <v>7.6937891189215207E-2</v>
      </c>
      <c r="R44" s="78">
        <f>Table1[[#This Row],[TPR Current]]-Table1[[#This Row],[TPR Past]]</f>
        <v>0</v>
      </c>
      <c r="S44" s="77">
        <v>7.6937891189215207E-2</v>
      </c>
      <c r="T44" s="38">
        <f>VLOOKUP(Table1[[#This Row],[TPR Current]],$J$3:$L$8,3)*5</f>
        <v>25</v>
      </c>
      <c r="U44" s="38">
        <f>SUM(Table1[[#This Row],[Stratified Test Positive Rate]]+Table1[[#This Row],[Stratified Rt]])</f>
        <v>60</v>
      </c>
      <c r="V44" s="88">
        <v>4</v>
      </c>
      <c r="W44" s="36">
        <f>Table1[[#This Row],[Weekly Deaths Current]]-Table1[[#This Row],[Weekly Deaths Past]]</f>
        <v>0</v>
      </c>
      <c r="X44" s="88">
        <v>4</v>
      </c>
      <c r="Y44" s="46">
        <f>Table1[[#This Row],[Weekly Deaths Current]]/Table1[[#This Row],[Population]]*100000</f>
        <v>0.52489167548047277</v>
      </c>
      <c r="Z44" s="88">
        <v>95</v>
      </c>
      <c r="AA44" s="38">
        <f>Table1[[#This Row],[Total Deaths Current]]-Table1[[#This Row],[Total Deaths Past]]</f>
        <v>0</v>
      </c>
      <c r="AB44" s="88">
        <v>95</v>
      </c>
      <c r="AC44" s="51">
        <f>Table1[[#This Row],[Total Deaths Current]]/Table1[[#This Row],[Population]]*100000</f>
        <v>12.466177292661225</v>
      </c>
      <c r="AD44" s="88">
        <v>10385</v>
      </c>
      <c r="AE44">
        <f>Table1[[#This Row],[Total Tests Current]]-Table1[[#This Row],[Total Tests Past]]</f>
        <v>0</v>
      </c>
      <c r="AF44" s="88">
        <v>10385</v>
      </c>
      <c r="AG44" s="74">
        <f>(Table1[[#This Row],[Total Tests Current]]/Table1[[#This Row],[Population]])*100000</f>
        <v>1362.7500124661774</v>
      </c>
    </row>
    <row r="45" spans="1:33" x14ac:dyDescent="0.25">
      <c r="C45" s="37" t="s">
        <v>55</v>
      </c>
      <c r="D45" s="22">
        <v>1934408</v>
      </c>
      <c r="E45" s="75"/>
      <c r="F45" s="56">
        <f>Table1[[#This Row],[Social Index Current]]-Table1[[#This Row],[SD Past]]</f>
        <v>-25</v>
      </c>
      <c r="G45" s="75">
        <v>25</v>
      </c>
      <c r="H45" s="100">
        <v>1.1420586299179001</v>
      </c>
      <c r="I45" s="100">
        <v>1.1420586299179001</v>
      </c>
      <c r="J45" s="37">
        <f>Table1[[#This Row],[Rt Current]]-Table1[[#This Row],[Rt Past]]</f>
        <v>0</v>
      </c>
      <c r="K45" s="37">
        <f>VLOOKUP(Table1[[#This Row],[Rt Current]],$G$3:$I$12,3)*5</f>
        <v>35</v>
      </c>
      <c r="L45" s="37">
        <v>4.1637094074322061</v>
      </c>
      <c r="M45" s="88">
        <v>2084</v>
      </c>
      <c r="N45">
        <f>Table1[[#This Row],[Increase in Pos Tests Past]]-Table1[[#This Row],[Test Increase Current]]</f>
        <v>0</v>
      </c>
      <c r="O45" s="88">
        <v>2084</v>
      </c>
      <c r="P45" s="37">
        <f>Table1[[#This Row],[Test Increase Current]]/Table1[[#This Row],[Population]]*100000</f>
        <v>107.73321863846716</v>
      </c>
      <c r="Q45" s="77">
        <v>9.3541002738004406E-2</v>
      </c>
      <c r="R45" s="78">
        <f>Table1[[#This Row],[TPR Current]]-Table1[[#This Row],[TPR Past]]</f>
        <v>0</v>
      </c>
      <c r="S45" s="77">
        <v>9.3541002738004406E-2</v>
      </c>
      <c r="T45" s="37">
        <f>VLOOKUP(Table1[[#This Row],[TPR Current]],$J$3:$L$8,3)*5</f>
        <v>25</v>
      </c>
      <c r="U45" s="37">
        <f>SUM(Table1[[#This Row],[Stratified Test Positive Rate]]+Table1[[#This Row],[Stratified Rt]])</f>
        <v>60</v>
      </c>
      <c r="V45" s="88">
        <v>16</v>
      </c>
      <c r="W45" s="36">
        <f>Table1[[#This Row],[Weekly Deaths Current]]-Table1[[#This Row],[Weekly Deaths Past]]</f>
        <v>0</v>
      </c>
      <c r="X45" s="88">
        <v>16</v>
      </c>
      <c r="Y45" s="45">
        <f>Table1[[#This Row],[Weekly Deaths Current]]/Table1[[#This Row],[Population]]*100000</f>
        <v>0.82712643868304925</v>
      </c>
      <c r="Z45" s="88">
        <v>332</v>
      </c>
      <c r="AA45" s="37">
        <f>Table1[[#This Row],[Total Deaths Current]]-Table1[[#This Row],[Total Deaths Past]]</f>
        <v>0</v>
      </c>
      <c r="AB45" s="88">
        <v>332</v>
      </c>
      <c r="AC45" s="50">
        <f>Table1[[#This Row],[Total Deaths Current]]/Table1[[#This Row],[Population]]*100000</f>
        <v>17.162873602673272</v>
      </c>
      <c r="AD45" s="88">
        <v>22279</v>
      </c>
      <c r="AE45">
        <f>Table1[[#This Row],[Total Tests Current]]-Table1[[#This Row],[Total Tests Past]]</f>
        <v>0</v>
      </c>
      <c r="AF45" s="88">
        <v>22279</v>
      </c>
      <c r="AG45" s="74">
        <f>(Table1[[#This Row],[Total Tests Current]]/Table1[[#This Row],[Population]])*100000</f>
        <v>1151.7218704637285</v>
      </c>
    </row>
    <row r="46" spans="1:33" x14ac:dyDescent="0.25">
      <c r="C46" s="60" t="s">
        <v>28</v>
      </c>
      <c r="D46" s="61">
        <v>1359711</v>
      </c>
      <c r="E46" s="75"/>
      <c r="F46" s="61">
        <f>Table1[[#This Row],[Social Index Current]]-Table1[[#This Row],[SD Past]]</f>
        <v>-24</v>
      </c>
      <c r="G46" s="75">
        <v>24</v>
      </c>
      <c r="H46" s="88">
        <v>1.06553498295537</v>
      </c>
      <c r="I46" s="88">
        <v>1.06553498295537</v>
      </c>
      <c r="J46" s="60">
        <f>Table1[[#This Row],[Rt Current]]-Table1[[#This Row],[Rt Past]]</f>
        <v>0</v>
      </c>
      <c r="K46" s="60">
        <f>VLOOKUP(Table1[[#This Row],[Rt Current]],$G$3:$I$12,3)*5</f>
        <v>35</v>
      </c>
      <c r="L46" s="60">
        <v>10.036443148688047</v>
      </c>
      <c r="M46" s="88">
        <v>198</v>
      </c>
      <c r="N46">
        <f>Table1[[#This Row],[Increase in Pos Tests Past]]-Table1[[#This Row],[Test Increase Current]]</f>
        <v>0</v>
      </c>
      <c r="O46" s="88">
        <v>198</v>
      </c>
      <c r="P46" s="39">
        <f>Table1[[#This Row],[Test Increase Current]]/Table1[[#This Row],[Population]]*100000</f>
        <v>14.561917936973371</v>
      </c>
      <c r="Q46" s="77">
        <v>2.1968268057250637E-2</v>
      </c>
      <c r="R46" s="78">
        <f>Table1[[#This Row],[TPR Current]]-Table1[[#This Row],[TPR Past]]</f>
        <v>0</v>
      </c>
      <c r="S46" s="77">
        <v>2.1968268057250637E-2</v>
      </c>
      <c r="T46" s="60">
        <f>VLOOKUP(Table1[[#This Row],[TPR Current]],$J$3:$L$8,3)*5</f>
        <v>10</v>
      </c>
      <c r="U46" s="60">
        <f>SUM(Table1[[#This Row],[Stratified Test Positive Rate]]+Table1[[#This Row],[Stratified Rt]])</f>
        <v>45</v>
      </c>
      <c r="V46" s="88">
        <v>8</v>
      </c>
      <c r="W46" s="36">
        <f>Table1[[#This Row],[Weekly Deaths Current]]-Table1[[#This Row],[Weekly Deaths Past]]</f>
        <v>0</v>
      </c>
      <c r="X46" s="88">
        <v>8</v>
      </c>
      <c r="Y46" s="76">
        <f>Table1[[#This Row],[Weekly Deaths Current]]/Table1[[#This Row],[Population]]*100000</f>
        <v>0.5883603206857928</v>
      </c>
      <c r="Z46" s="88">
        <v>417</v>
      </c>
      <c r="AA46" s="60">
        <f>Table1[[#This Row],[Total Deaths Current]]-Table1[[#This Row],[Total Deaths Past]]</f>
        <v>0</v>
      </c>
      <c r="AB46" s="88">
        <v>417</v>
      </c>
      <c r="AC46" s="62">
        <f>Table1[[#This Row],[Total Deaths Current]]/Table1[[#This Row],[Population]]*100000</f>
        <v>30.668281715746947</v>
      </c>
      <c r="AD46" s="88">
        <v>9013</v>
      </c>
      <c r="AE46">
        <f>Table1[[#This Row],[Total Tests Current]]-Table1[[#This Row],[Total Tests Past]]</f>
        <v>0</v>
      </c>
      <c r="AF46" s="88">
        <v>9013</v>
      </c>
      <c r="AG46" s="74">
        <f>(Table1[[#This Row],[Total Tests Current]]/Table1[[#This Row],[Population]])*100000</f>
        <v>662.86144629263129</v>
      </c>
    </row>
    <row r="47" spans="1:33" ht="30" x14ac:dyDescent="0.25">
      <c r="A47" s="63" t="s">
        <v>182</v>
      </c>
      <c r="C47" s="79" t="s">
        <v>212</v>
      </c>
      <c r="D47" s="80">
        <v>8882190</v>
      </c>
      <c r="E47" s="75"/>
      <c r="F47" s="80">
        <f>Table1[[#This Row],[Social Index Current]]-Table1[[#This Row],[SD Past]]</f>
        <v>-32</v>
      </c>
      <c r="G47" s="75">
        <v>32</v>
      </c>
      <c r="H47" s="88">
        <v>0.965851159296373</v>
      </c>
      <c r="I47" s="88">
        <v>0.965851159296373</v>
      </c>
      <c r="J47" s="79">
        <f>Table1[[#This Row],[Rt Current]]-Table1[[#This Row],[Rt Past]]</f>
        <v>0</v>
      </c>
      <c r="K47" s="79">
        <f>VLOOKUP(Table1[[#This Row],[Rt Current]],$G$3:$I$12,3)*5</f>
        <v>15</v>
      </c>
      <c r="L47" s="79">
        <v>2.9860508576386571</v>
      </c>
      <c r="M47" s="88">
        <v>2802</v>
      </c>
      <c r="N47">
        <f>Table1[[#This Row],[Increase in Pos Tests Past]]-Table1[[#This Row],[Test Increase Current]]</f>
        <v>0</v>
      </c>
      <c r="O47" s="88">
        <v>2802</v>
      </c>
      <c r="P47" s="40">
        <f>Table1[[#This Row],[Test Increase Current]]/Table1[[#This Row],[Population]]*100000</f>
        <v>31.546274060789063</v>
      </c>
      <c r="Q47" s="77">
        <v>1.5503018164314288E-2</v>
      </c>
      <c r="R47" s="78">
        <f>Table1[[#This Row],[TPR Current]]-Table1[[#This Row],[TPR Past]]</f>
        <v>0</v>
      </c>
      <c r="S47" s="77">
        <v>1.5503018164314288E-2</v>
      </c>
      <c r="T47" s="79">
        <f>VLOOKUP(Table1[[#This Row],[TPR Current]],$J$3:$L$8,3)*5</f>
        <v>10</v>
      </c>
      <c r="U47" s="79">
        <f>SUM(Table1[[#This Row],[Stratified Test Positive Rate]]+Table1[[#This Row],[Stratified Rt]])</f>
        <v>25</v>
      </c>
      <c r="V47" s="88">
        <v>42</v>
      </c>
      <c r="W47" s="36">
        <f>Table1[[#This Row],[Weekly Deaths Current]]-Table1[[#This Row],[Weekly Deaths Past]]</f>
        <v>0</v>
      </c>
      <c r="X47" s="88">
        <v>42</v>
      </c>
      <c r="Y47" s="81">
        <f>Table1[[#This Row],[Weekly Deaths Current]]/Table1[[#This Row],[Population]]*100000</f>
        <v>0.47285635637157053</v>
      </c>
      <c r="Z47" s="88">
        <v>15846</v>
      </c>
      <c r="AA47" s="79">
        <f>Table1[[#This Row],[Total Deaths Current]]-Table1[[#This Row],[Total Deaths Past]]</f>
        <v>0</v>
      </c>
      <c r="AB47" s="88">
        <v>15846</v>
      </c>
      <c r="AC47" s="82">
        <f>Table1[[#This Row],[Total Deaths Current]]/Table1[[#This Row],[Population]]*100000</f>
        <v>178.40194816818826</v>
      </c>
      <c r="AD47" s="88">
        <v>180739</v>
      </c>
      <c r="AE47">
        <f>Table1[[#This Row],[Total Tests Current]]-Table1[[#This Row],[Total Tests Past]]</f>
        <v>0</v>
      </c>
      <c r="AF47" s="88">
        <v>180739</v>
      </c>
      <c r="AG47" s="74">
        <f>(Table1[[#This Row],[Total Tests Current]]/Table1[[#This Row],[Population]])*100000</f>
        <v>2034.8472617676496</v>
      </c>
    </row>
    <row r="48" spans="1:33" x14ac:dyDescent="0.25">
      <c r="C48" s="23" t="s">
        <v>196</v>
      </c>
      <c r="D48" s="26">
        <v>2096829</v>
      </c>
      <c r="E48" s="75"/>
      <c r="F48" s="57">
        <f>Table1[[#This Row],[Social Index Current]]-Table1[[#This Row],[SD Past]]</f>
        <v>-32</v>
      </c>
      <c r="G48" s="75">
        <v>32</v>
      </c>
      <c r="H48" s="88">
        <v>0.94515445564084599</v>
      </c>
      <c r="I48" s="88">
        <v>0.94515445564084599</v>
      </c>
      <c r="J48" s="23">
        <f>Table1[[#This Row],[Rt Current]]-Table1[[#This Row],[Rt Past]]</f>
        <v>0</v>
      </c>
      <c r="K48" s="23">
        <f>VLOOKUP(Table1[[#This Row],[Rt Current]],$G$3:$I$12,3)*5</f>
        <v>15</v>
      </c>
      <c r="L48" s="23">
        <v>19.108534322820038</v>
      </c>
      <c r="M48" s="88">
        <v>1974</v>
      </c>
      <c r="N48">
        <f>Table1[[#This Row],[Increase in Pos Tests Past]]-Table1[[#This Row],[Test Increase Current]]</f>
        <v>0</v>
      </c>
      <c r="O48" s="88">
        <v>1974</v>
      </c>
      <c r="P48" s="23">
        <f>Table1[[#This Row],[Test Increase Current]]/Table1[[#This Row],[Population]]*100000</f>
        <v>94.142154653526816</v>
      </c>
      <c r="Q48" s="77">
        <v>3.6873073690109275E-2</v>
      </c>
      <c r="R48" s="78">
        <f>Table1[[#This Row],[TPR Current]]-Table1[[#This Row],[TPR Past]]</f>
        <v>0</v>
      </c>
      <c r="S48" s="77">
        <v>3.6873073690109275E-2</v>
      </c>
      <c r="T48" s="29">
        <f>VLOOKUP(Table1[[#This Row],[TPR Current]],$J$3:$L$8,3)*5</f>
        <v>15</v>
      </c>
      <c r="U48" s="29">
        <f>SUM(Table1[[#This Row],[Stratified Test Positive Rate]]+Table1[[#This Row],[Stratified Rt]])</f>
        <v>30</v>
      </c>
      <c r="V48" s="88">
        <v>40</v>
      </c>
      <c r="W48" s="36">
        <f>Table1[[#This Row],[Weekly Deaths Current]]-Table1[[#This Row],[Weekly Deaths Past]]</f>
        <v>0</v>
      </c>
      <c r="X48" s="88">
        <v>40</v>
      </c>
      <c r="Y48" s="30">
        <f>Table1[[#This Row],[Weekly Deaths Current]]/Table1[[#This Row],[Population]]*100000</f>
        <v>1.9076424448536338</v>
      </c>
      <c r="Z48" s="88">
        <v>654</v>
      </c>
      <c r="AA48" s="23">
        <f>Table1[[#This Row],[Total Deaths Current]]-Table1[[#This Row],[Total Deaths Past]]</f>
        <v>0</v>
      </c>
      <c r="AB48" s="88">
        <v>654</v>
      </c>
      <c r="AC48" s="33">
        <f>Table1[[#This Row],[Total Deaths Current]]/Table1[[#This Row],[Population]]*100000</f>
        <v>31.189953973356911</v>
      </c>
      <c r="AD48" s="88">
        <v>53535</v>
      </c>
      <c r="AE48">
        <f>Table1[[#This Row],[Total Tests Current]]-Table1[[#This Row],[Total Tests Past]]</f>
        <v>0</v>
      </c>
      <c r="AF48" s="88">
        <v>53535</v>
      </c>
      <c r="AG48" s="74">
        <f>(Table1[[#This Row],[Total Tests Current]]/Table1[[#This Row],[Population]])*100000</f>
        <v>2553.1409571309819</v>
      </c>
    </row>
    <row r="49" spans="1:33" x14ac:dyDescent="0.25">
      <c r="C49" s="23" t="s">
        <v>198</v>
      </c>
      <c r="D49" s="26">
        <v>3080156</v>
      </c>
      <c r="E49" s="75"/>
      <c r="F49" s="57">
        <f>Table1[[#This Row],[Social Index Current]]-Table1[[#This Row],[SD Past]]</f>
        <v>-34</v>
      </c>
      <c r="G49" s="75">
        <v>34</v>
      </c>
      <c r="H49" s="88">
        <v>0.99891588594219505</v>
      </c>
      <c r="I49" s="88">
        <v>0.99891588594219505</v>
      </c>
      <c r="J49" s="23">
        <f>Table1[[#This Row],[Rt Current]]-Table1[[#This Row],[Rt Past]]</f>
        <v>0</v>
      </c>
      <c r="K49" s="23">
        <f>VLOOKUP(Table1[[#This Row],[Rt Current]],$G$3:$I$12,3)*5</f>
        <v>15</v>
      </c>
      <c r="L49" s="23">
        <v>12.201822916666666</v>
      </c>
      <c r="M49" s="88">
        <v>7368</v>
      </c>
      <c r="N49">
        <f>Table1[[#This Row],[Increase in Pos Tests Past]]-Table1[[#This Row],[Test Increase Current]]</f>
        <v>0</v>
      </c>
      <c r="O49" s="88">
        <v>7368</v>
      </c>
      <c r="P49" s="23">
        <f>Table1[[#This Row],[Test Increase Current]]/Table1[[#This Row],[Population]]*100000</f>
        <v>239.20866345730542</v>
      </c>
      <c r="Q49" s="77">
        <v>0.18334287207305844</v>
      </c>
      <c r="R49" s="78">
        <f>Table1[[#This Row],[TPR Current]]-Table1[[#This Row],[TPR Past]]</f>
        <v>0</v>
      </c>
      <c r="S49" s="77">
        <v>0.18334287207305844</v>
      </c>
      <c r="T49" s="29">
        <f>VLOOKUP(Table1[[#This Row],[TPR Current]],$J$3:$L$8,3)*5</f>
        <v>45</v>
      </c>
      <c r="U49" s="29">
        <f>SUM(Table1[[#This Row],[Stratified Test Positive Rate]]+Table1[[#This Row],[Stratified Rt]])</f>
        <v>60</v>
      </c>
      <c r="V49" s="88">
        <v>108</v>
      </c>
      <c r="W49" s="36">
        <f>Table1[[#This Row],[Weekly Deaths Current]]-Table1[[#This Row],[Weekly Deaths Past]]</f>
        <v>0</v>
      </c>
      <c r="X49" s="88">
        <v>108</v>
      </c>
      <c r="Y49" s="30">
        <f>Table1[[#This Row],[Weekly Deaths Current]]/Table1[[#This Row],[Population]]*100000</f>
        <v>3.5063159138692974</v>
      </c>
      <c r="Z49" s="88">
        <v>847</v>
      </c>
      <c r="AA49" s="23">
        <f>Table1[[#This Row],[Total Deaths Current]]-Table1[[#This Row],[Total Deaths Past]]</f>
        <v>0</v>
      </c>
      <c r="AB49" s="88">
        <v>847</v>
      </c>
      <c r="AC49" s="33">
        <f>Table1[[#This Row],[Total Deaths Current]]/Table1[[#This Row],[Population]]*100000</f>
        <v>27.498607213400881</v>
      </c>
      <c r="AD49" s="88">
        <v>40187</v>
      </c>
      <c r="AE49">
        <f>Table1[[#This Row],[Total Tests Current]]-Table1[[#This Row],[Total Tests Past]]</f>
        <v>0</v>
      </c>
      <c r="AF49" s="88">
        <v>40187</v>
      </c>
      <c r="AG49" s="74">
        <f>(Table1[[#This Row],[Total Tests Current]]/Table1[[#This Row],[Population]])*100000</f>
        <v>1304.7066447283839</v>
      </c>
    </row>
    <row r="50" spans="1:33" ht="30" x14ac:dyDescent="0.25">
      <c r="A50" s="63" t="s">
        <v>183</v>
      </c>
      <c r="B50" t="s">
        <v>159</v>
      </c>
      <c r="C50" s="40" t="s">
        <v>32</v>
      </c>
      <c r="D50" s="21">
        <v>19453561</v>
      </c>
      <c r="E50" s="75"/>
      <c r="F50" s="58">
        <f>Table1[[#This Row],[Social Index Current]]-Table1[[#This Row],[SD Past]]</f>
        <v>-39</v>
      </c>
      <c r="G50" s="75">
        <v>39</v>
      </c>
      <c r="H50" s="88">
        <v>0.94174576606069504</v>
      </c>
      <c r="I50" s="88">
        <v>0.94174576606069504</v>
      </c>
      <c r="J50" s="40">
        <f>Table1[[#This Row],[Rt Current]]-Table1[[#This Row],[Rt Past]]</f>
        <v>0</v>
      </c>
      <c r="K50" s="40">
        <f>VLOOKUP(Table1[[#This Row],[Rt Current]],$G$3:$I$12,3)*5</f>
        <v>15</v>
      </c>
      <c r="L50" s="40">
        <v>8.1316320831722297</v>
      </c>
      <c r="M50" s="88">
        <v>4499</v>
      </c>
      <c r="N50">
        <f>Table1[[#This Row],[Increase in Pos Tests Past]]-Table1[[#This Row],[Test Increase Current]]</f>
        <v>0</v>
      </c>
      <c r="O50" s="88">
        <v>4499</v>
      </c>
      <c r="P50" s="40">
        <f>Table1[[#This Row],[Test Increase Current]]/Table1[[#This Row],[Population]]*100000</f>
        <v>23.126871219104821</v>
      </c>
      <c r="Q50" s="77">
        <v>9.8743484224965705E-3</v>
      </c>
      <c r="R50" s="78">
        <f>Table1[[#This Row],[TPR Current]]-Table1[[#This Row],[TPR Past]]</f>
        <v>0</v>
      </c>
      <c r="S50" s="77">
        <v>9.8743484224965705E-3</v>
      </c>
      <c r="T50" s="40">
        <f>VLOOKUP(Table1[[#This Row],[TPR Current]],$J$3:$L$8,3)*5</f>
        <v>10</v>
      </c>
      <c r="U50" s="40">
        <f>SUM(Table1[[#This Row],[Stratified Test Positive Rate]]+Table1[[#This Row],[Stratified Rt]])</f>
        <v>25</v>
      </c>
      <c r="V50" s="88">
        <v>55</v>
      </c>
      <c r="W50" s="36">
        <f>Table1[[#This Row],[Weekly Deaths Current]]-Table1[[#This Row],[Weekly Deaths Past]]</f>
        <v>0</v>
      </c>
      <c r="X50" s="88">
        <v>55</v>
      </c>
      <c r="Y50" s="48">
        <f>Table1[[#This Row],[Weekly Deaths Current]]/Table1[[#This Row],[Population]]*100000</f>
        <v>0.28272458703062131</v>
      </c>
      <c r="Z50" s="88">
        <v>25172</v>
      </c>
      <c r="AA50" s="40">
        <f>Table1[[#This Row],[Total Deaths Current]]-Table1[[#This Row],[Total Deaths Past]]</f>
        <v>0</v>
      </c>
      <c r="AB50" s="88">
        <v>25172</v>
      </c>
      <c r="AC50" s="53">
        <f>Table1[[#This Row],[Total Deaths Current]]/Table1[[#This Row],[Population]]*100000</f>
        <v>129.39533281335997</v>
      </c>
      <c r="AD50" s="88">
        <v>455625</v>
      </c>
      <c r="AE50">
        <f>Table1[[#This Row],[Total Tests Current]]-Table1[[#This Row],[Total Tests Past]]</f>
        <v>0</v>
      </c>
      <c r="AF50" s="88">
        <v>455625</v>
      </c>
      <c r="AG50" s="74">
        <f>(Table1[[#This Row],[Total Tests Current]]/Table1[[#This Row],[Population]])*100000</f>
        <v>2342.1161811968514</v>
      </c>
    </row>
    <row r="51" spans="1:33" ht="30" x14ac:dyDescent="0.25">
      <c r="A51" t="s">
        <v>184</v>
      </c>
      <c r="B51" s="63" t="s">
        <v>160</v>
      </c>
      <c r="C51" s="23" t="s">
        <v>56</v>
      </c>
      <c r="D51" s="26">
        <v>11689100</v>
      </c>
      <c r="E51" s="75"/>
      <c r="F51" s="57">
        <f>Table1[[#This Row],[Social Index Current]]-Table1[[#This Row],[SD Past]]</f>
        <v>-26</v>
      </c>
      <c r="G51" s="75">
        <v>26</v>
      </c>
      <c r="H51" s="88">
        <v>0.918456294509577</v>
      </c>
      <c r="I51" s="88">
        <v>0.918456294509577</v>
      </c>
      <c r="J51" s="23">
        <f>Table1[[#This Row],[Rt Current]]-Table1[[#This Row],[Rt Past]]</f>
        <v>0</v>
      </c>
      <c r="K51" s="23">
        <f>VLOOKUP(Table1[[#This Row],[Rt Current]],$G$3:$I$12,3)*5</f>
        <v>15</v>
      </c>
      <c r="L51" s="23">
        <v>10.27509746588694</v>
      </c>
      <c r="M51" s="88">
        <v>8786</v>
      </c>
      <c r="N51">
        <f>Table1[[#This Row],[Increase in Pos Tests Past]]-Table1[[#This Row],[Test Increase Current]]</f>
        <v>0</v>
      </c>
      <c r="O51" s="88">
        <v>8786</v>
      </c>
      <c r="P51" s="23">
        <f>Table1[[#This Row],[Test Increase Current]]/Table1[[#This Row],[Population]]*100000</f>
        <v>75.164041714075509</v>
      </c>
      <c r="Q51" s="77">
        <v>4.5893076340463315E-2</v>
      </c>
      <c r="R51" s="78">
        <f>Table1[[#This Row],[TPR Current]]-Table1[[#This Row],[TPR Past]]</f>
        <v>0</v>
      </c>
      <c r="S51" s="77">
        <v>4.5893076340463315E-2</v>
      </c>
      <c r="T51" s="29">
        <f>VLOOKUP(Table1[[#This Row],[TPR Current]],$J$3:$L$8,3)*5</f>
        <v>15</v>
      </c>
      <c r="U51" s="29">
        <f>SUM(Table1[[#This Row],[Stratified Test Positive Rate]]+Table1[[#This Row],[Stratified Rt]])</f>
        <v>30</v>
      </c>
      <c r="V51" s="88">
        <v>195</v>
      </c>
      <c r="W51" s="36">
        <f>Table1[[#This Row],[Weekly Deaths Current]]-Table1[[#This Row],[Weekly Deaths Past]]</f>
        <v>0</v>
      </c>
      <c r="X51" s="88">
        <v>195</v>
      </c>
      <c r="Y51" s="30">
        <f>Table1[[#This Row],[Weekly Deaths Current]]/Table1[[#This Row],[Population]]*100000</f>
        <v>1.668220821106843</v>
      </c>
      <c r="Z51" s="88">
        <v>3539</v>
      </c>
      <c r="AA51" s="23">
        <f>Table1[[#This Row],[Total Deaths Current]]-Table1[[#This Row],[Total Deaths Past]]</f>
        <v>0</v>
      </c>
      <c r="AB51" s="88">
        <v>3539</v>
      </c>
      <c r="AC51" s="33">
        <f>Table1[[#This Row],[Total Deaths Current]]/Table1[[#This Row],[Population]]*100000</f>
        <v>30.276069158446759</v>
      </c>
      <c r="AD51" s="88">
        <v>191445</v>
      </c>
      <c r="AE51">
        <f>Table1[[#This Row],[Total Tests Current]]-Table1[[#This Row],[Total Tests Past]]</f>
        <v>0</v>
      </c>
      <c r="AF51" s="88">
        <v>191445</v>
      </c>
      <c r="AG51" s="74">
        <f>(Table1[[#This Row],[Total Tests Current]]/Table1[[#This Row],[Population]])*100000</f>
        <v>1637.8078722912801</v>
      </c>
    </row>
    <row r="52" spans="1:33" x14ac:dyDescent="0.25">
      <c r="C52" s="25" t="s">
        <v>57</v>
      </c>
      <c r="D52" s="28">
        <v>3956971</v>
      </c>
      <c r="E52" s="75"/>
      <c r="F52" s="54">
        <f>Table1[[#This Row],[Social Index Current]]-Table1[[#This Row],[SD Past]]</f>
        <v>-26</v>
      </c>
      <c r="G52" s="75">
        <v>26</v>
      </c>
      <c r="H52" s="88">
        <v>1.04341098112201</v>
      </c>
      <c r="I52" s="88">
        <v>1.04341098112201</v>
      </c>
      <c r="J52" s="25">
        <f>Table1[[#This Row],[Rt Current]]-Table1[[#This Row],[Rt Past]]</f>
        <v>0</v>
      </c>
      <c r="K52" s="25">
        <f>VLOOKUP(Table1[[#This Row],[Rt Current]],$G$3:$I$12,3)*5</f>
        <v>35</v>
      </c>
      <c r="L52" s="25">
        <v>32.956460674157306</v>
      </c>
      <c r="M52" s="88">
        <v>5916</v>
      </c>
      <c r="N52">
        <f>Table1[[#This Row],[Increase in Pos Tests Past]]-Table1[[#This Row],[Test Increase Current]]</f>
        <v>0</v>
      </c>
      <c r="O52" s="88">
        <v>5916</v>
      </c>
      <c r="P52" s="25">
        <f>Table1[[#This Row],[Test Increase Current]]/Table1[[#This Row],[Population]]*100000</f>
        <v>149.50829814016834</v>
      </c>
      <c r="Q52" s="77">
        <v>8.4818420335775427E-2</v>
      </c>
      <c r="R52" s="78">
        <f>Table1[[#This Row],[TPR Current]]-Table1[[#This Row],[TPR Past]]</f>
        <v>0</v>
      </c>
      <c r="S52" s="77">
        <v>8.4818420335775427E-2</v>
      </c>
      <c r="T52" s="25">
        <f>VLOOKUP(Table1[[#This Row],[TPR Current]],$J$3:$L$8,3)*5</f>
        <v>25</v>
      </c>
      <c r="U52" s="25">
        <f>SUM(Table1[[#This Row],[Stratified Test Positive Rate]]+Table1[[#This Row],[Stratified Rt]])</f>
        <v>60</v>
      </c>
      <c r="V52" s="88">
        <v>55</v>
      </c>
      <c r="W52" s="36">
        <f>Table1[[#This Row],[Weekly Deaths Current]]-Table1[[#This Row],[Weekly Deaths Past]]</f>
        <v>0</v>
      </c>
      <c r="X52" s="88">
        <v>55</v>
      </c>
      <c r="Y52" s="32">
        <f>Table1[[#This Row],[Weekly Deaths Current]]/Table1[[#This Row],[Population]]*100000</f>
        <v>1.3899520618169807</v>
      </c>
      <c r="Z52" s="88">
        <v>551</v>
      </c>
      <c r="AA52" s="25">
        <f>Table1[[#This Row],[Total Deaths Current]]-Table1[[#This Row],[Total Deaths Past]]</f>
        <v>0</v>
      </c>
      <c r="AB52" s="88">
        <v>551</v>
      </c>
      <c r="AC52" s="35">
        <f>Table1[[#This Row],[Total Deaths Current]]/Table1[[#This Row],[Population]]*100000</f>
        <v>13.924792473839206</v>
      </c>
      <c r="AD52" s="88">
        <v>69749</v>
      </c>
      <c r="AE52">
        <f>Table1[[#This Row],[Total Tests Current]]-Table1[[#This Row],[Total Tests Past]]</f>
        <v>0</v>
      </c>
      <c r="AF52" s="88">
        <v>69749</v>
      </c>
      <c r="AG52" s="74">
        <f>(Table1[[#This Row],[Total Tests Current]]/Table1[[#This Row],[Population]])*100000</f>
        <v>1762.6866610849561</v>
      </c>
    </row>
    <row r="53" spans="1:33" x14ac:dyDescent="0.25">
      <c r="C53" s="23" t="s">
        <v>203</v>
      </c>
      <c r="D53" s="26">
        <v>4217737</v>
      </c>
      <c r="E53" s="75"/>
      <c r="F53" s="57">
        <f>Table1[[#This Row],[Social Index Current]]-Table1[[#This Row],[SD Past]]</f>
        <v>-30</v>
      </c>
      <c r="G53" s="75">
        <v>30</v>
      </c>
      <c r="H53" s="88">
        <v>1.0121498105422</v>
      </c>
      <c r="I53" s="88">
        <v>1.0121498105422</v>
      </c>
      <c r="J53" s="23">
        <f>Table1[[#This Row],[Rt Current]]-Table1[[#This Row],[Rt Past]]</f>
        <v>0</v>
      </c>
      <c r="K53" s="23">
        <f>VLOOKUP(Table1[[#This Row],[Rt Current]],$G$3:$I$12,3)*5</f>
        <v>35</v>
      </c>
      <c r="L53" s="23">
        <v>30.116910229645093</v>
      </c>
      <c r="M53" s="88">
        <v>2278</v>
      </c>
      <c r="N53">
        <f>Table1[[#This Row],[Increase in Pos Tests Past]]-Table1[[#This Row],[Test Increase Current]]</f>
        <v>0</v>
      </c>
      <c r="O53" s="88">
        <v>2278</v>
      </c>
      <c r="P53" s="23">
        <f>Table1[[#This Row],[Test Increase Current]]/Table1[[#This Row],[Population]]*100000</f>
        <v>54.010005839624426</v>
      </c>
      <c r="Q53" s="77">
        <v>6.5904817011427738E-2</v>
      </c>
      <c r="R53" s="78">
        <f>Table1[[#This Row],[TPR Current]]-Table1[[#This Row],[TPR Past]]</f>
        <v>0</v>
      </c>
      <c r="S53" s="77">
        <v>6.5904817011427738E-2</v>
      </c>
      <c r="T53" s="29">
        <f>VLOOKUP(Table1[[#This Row],[TPR Current]],$J$3:$L$8,3)*5</f>
        <v>25</v>
      </c>
      <c r="U53" s="29">
        <f>SUM(Table1[[#This Row],[Stratified Test Positive Rate]]+Table1[[#This Row],[Stratified Rt]])</f>
        <v>60</v>
      </c>
      <c r="V53" s="88">
        <v>39</v>
      </c>
      <c r="W53" s="36">
        <f>Table1[[#This Row],[Weekly Deaths Current]]-Table1[[#This Row],[Weekly Deaths Past]]</f>
        <v>0</v>
      </c>
      <c r="X53" s="88">
        <v>39</v>
      </c>
      <c r="Y53" s="30">
        <f>Table1[[#This Row],[Weekly Deaths Current]]/Table1[[#This Row],[Population]]*100000</f>
        <v>0.92466647398830226</v>
      </c>
      <c r="Z53" s="88">
        <v>328</v>
      </c>
      <c r="AA53" s="23">
        <f>Table1[[#This Row],[Total Deaths Current]]-Table1[[#This Row],[Total Deaths Past]]</f>
        <v>0</v>
      </c>
      <c r="AB53" s="88">
        <v>328</v>
      </c>
      <c r="AC53" s="33">
        <f>Table1[[#This Row],[Total Deaths Current]]/Table1[[#This Row],[Population]]*100000</f>
        <v>7.7766821402093109</v>
      </c>
      <c r="AD53" s="88">
        <v>34565</v>
      </c>
      <c r="AE53">
        <f>Table1[[#This Row],[Total Tests Current]]-Table1[[#This Row],[Total Tests Past]]</f>
        <v>0</v>
      </c>
      <c r="AF53" s="88">
        <v>34565</v>
      </c>
      <c r="AG53" s="74">
        <f>(Table1[[#This Row],[Total Tests Current]]/Table1[[#This Row],[Population]])*100000</f>
        <v>819.51529931809409</v>
      </c>
    </row>
    <row r="54" spans="1:33" ht="45" x14ac:dyDescent="0.25">
      <c r="B54" s="63" t="s">
        <v>161</v>
      </c>
      <c r="C54" s="40" t="s">
        <v>34</v>
      </c>
      <c r="D54" s="21">
        <v>12801989</v>
      </c>
      <c r="E54" s="75"/>
      <c r="F54" s="58">
        <f>Table1[[#This Row],[Social Index Current]]-Table1[[#This Row],[SD Past]]</f>
        <v>-28</v>
      </c>
      <c r="G54" s="75">
        <v>28</v>
      </c>
      <c r="H54" s="100">
        <v>1.00995310027075</v>
      </c>
      <c r="I54" s="100">
        <v>1.00995310027075</v>
      </c>
      <c r="J54" s="40">
        <f>Table1[[#This Row],[Rt Current]]-Table1[[#This Row],[Rt Past]]</f>
        <v>0</v>
      </c>
      <c r="K54" s="40">
        <f>VLOOKUP(Table1[[#This Row],[Rt Current]],$G$3:$I$12,3)*5</f>
        <v>15</v>
      </c>
      <c r="L54" s="40">
        <v>5.7918064876957498</v>
      </c>
      <c r="M54" s="88">
        <v>5891</v>
      </c>
      <c r="N54">
        <f>Table1[[#This Row],[Increase in Pos Tests Past]]-Table1[[#This Row],[Test Increase Current]]</f>
        <v>0</v>
      </c>
      <c r="O54" s="88">
        <v>5891</v>
      </c>
      <c r="P54" s="40">
        <f>Table1[[#This Row],[Test Increase Current]]/Table1[[#This Row],[Population]]*100000</f>
        <v>46.016287000402826</v>
      </c>
      <c r="Q54" s="77">
        <v>5.5637933151368044E-2</v>
      </c>
      <c r="R54" s="78">
        <f>Table1[[#This Row],[TPR Current]]-Table1[[#This Row],[TPR Past]]</f>
        <v>0</v>
      </c>
      <c r="S54" s="77">
        <v>5.5637933151368044E-2</v>
      </c>
      <c r="T54" s="40">
        <f>VLOOKUP(Table1[[#This Row],[TPR Current]],$J$3:$L$8,3)*5</f>
        <v>15</v>
      </c>
      <c r="U54" s="40">
        <f>SUM(Table1[[#This Row],[Stratified Test Positive Rate]]+Table1[[#This Row],[Stratified Rt]])</f>
        <v>30</v>
      </c>
      <c r="V54" s="88">
        <v>87</v>
      </c>
      <c r="W54" s="36">
        <f>Table1[[#This Row],[Weekly Deaths Current]]-Table1[[#This Row],[Weekly Deaths Past]]</f>
        <v>0</v>
      </c>
      <c r="X54" s="88">
        <v>87</v>
      </c>
      <c r="Y54" s="48">
        <f>Table1[[#This Row],[Weekly Deaths Current]]/Table1[[#This Row],[Population]]*100000</f>
        <v>0.67958189934392232</v>
      </c>
      <c r="Z54" s="88">
        <v>7209</v>
      </c>
      <c r="AA54" s="40">
        <f>Table1[[#This Row],[Total Deaths Current]]-Table1[[#This Row],[Total Deaths Past]]</f>
        <v>0</v>
      </c>
      <c r="AB54" s="88">
        <v>7209</v>
      </c>
      <c r="AC54" s="53">
        <f>Table1[[#This Row],[Total Deaths Current]]/Table1[[#This Row],[Population]]*100000</f>
        <v>56.311562211153287</v>
      </c>
      <c r="AD54" s="88">
        <v>105881</v>
      </c>
      <c r="AE54">
        <f>Table1[[#This Row],[Total Tests Current]]-Table1[[#This Row],[Total Tests Past]]</f>
        <v>0</v>
      </c>
      <c r="AF54" s="88">
        <v>105881</v>
      </c>
      <c r="AG54" s="74">
        <f>(Table1[[#This Row],[Total Tests Current]]/Table1[[#This Row],[Population]])*100000</f>
        <v>827.06679407395211</v>
      </c>
    </row>
    <row r="55" spans="1:33" x14ac:dyDescent="0.25">
      <c r="C55" s="39" t="s">
        <v>35</v>
      </c>
      <c r="D55" s="20">
        <v>1059361</v>
      </c>
      <c r="E55" s="75"/>
      <c r="F55" s="55">
        <f>Table1[[#This Row],[Social Index Current]]-Table1[[#This Row],[SD Past]]</f>
        <v>-26</v>
      </c>
      <c r="G55" s="75">
        <v>26</v>
      </c>
      <c r="H55" s="88">
        <v>1.1377210350654401</v>
      </c>
      <c r="I55" s="88">
        <v>1.1377210350654401</v>
      </c>
      <c r="J55" s="39">
        <f>Table1[[#This Row],[Rt Current]]-Table1[[#This Row],[Rt Past]]</f>
        <v>0</v>
      </c>
      <c r="K55" s="39">
        <f>VLOOKUP(Table1[[#This Row],[Rt Current]],$G$3:$I$12,3)*5</f>
        <v>35</v>
      </c>
      <c r="L55" s="39">
        <v>9.7475117862755365</v>
      </c>
      <c r="M55" s="88">
        <v>731</v>
      </c>
      <c r="N55">
        <f>Table1[[#This Row],[Increase in Pos Tests Past]]-Table1[[#This Row],[Test Increase Current]]</f>
        <v>0</v>
      </c>
      <c r="O55" s="88">
        <v>731</v>
      </c>
      <c r="P55" s="39">
        <f>Table1[[#This Row],[Test Increase Current]]/Table1[[#This Row],[Population]]*100000</f>
        <v>69.003861761948954</v>
      </c>
      <c r="Q55" s="77">
        <v>5.4357525282569902E-2</v>
      </c>
      <c r="R55" s="78">
        <f>Table1[[#This Row],[TPR Current]]-Table1[[#This Row],[TPR Past]]</f>
        <v>0</v>
      </c>
      <c r="S55" s="77">
        <v>5.4357525282569902E-2</v>
      </c>
      <c r="T55" s="39">
        <f>VLOOKUP(Table1[[#This Row],[TPR Current]],$J$3:$L$8,3)*5</f>
        <v>15</v>
      </c>
      <c r="U55" s="39">
        <f>SUM(Table1[[#This Row],[Stratified Test Positive Rate]]+Table1[[#This Row],[Stratified Rt]])</f>
        <v>50</v>
      </c>
      <c r="V55" s="88">
        <v>6</v>
      </c>
      <c r="W55" s="36">
        <f>Table1[[#This Row],[Weekly Deaths Current]]-Table1[[#This Row],[Weekly Deaths Past]]</f>
        <v>0</v>
      </c>
      <c r="X55" s="88">
        <v>6</v>
      </c>
      <c r="Y55" s="47">
        <f>Table1[[#This Row],[Weekly Deaths Current]]/Table1[[#This Row],[Population]]*100000</f>
        <v>0.56637916630874652</v>
      </c>
      <c r="Z55" s="88">
        <v>1010</v>
      </c>
      <c r="AA55" s="39">
        <f>Table1[[#This Row],[Total Deaths Current]]-Table1[[#This Row],[Total Deaths Past]]</f>
        <v>0</v>
      </c>
      <c r="AB55" s="88">
        <v>1010</v>
      </c>
      <c r="AC55" s="52">
        <f>Table1[[#This Row],[Total Deaths Current]]/Table1[[#This Row],[Population]]*100000</f>
        <v>95.340492995305667</v>
      </c>
      <c r="AD55" s="88">
        <v>13448</v>
      </c>
      <c r="AE55">
        <f>Table1[[#This Row],[Total Tests Current]]-Table1[[#This Row],[Total Tests Past]]</f>
        <v>0</v>
      </c>
      <c r="AF55" s="88">
        <v>13448</v>
      </c>
      <c r="AG55" s="74">
        <f>(Table1[[#This Row],[Total Tests Current]]/Table1[[#This Row],[Population]])*100000</f>
        <v>1269.4445047533372</v>
      </c>
    </row>
    <row r="56" spans="1:33" x14ac:dyDescent="0.25">
      <c r="C56" s="25" t="s">
        <v>210</v>
      </c>
      <c r="D56" s="28">
        <v>5148714</v>
      </c>
      <c r="E56" s="75"/>
      <c r="F56" s="54">
        <f>Table1[[#This Row],[Social Index Current]]-Table1[[#This Row],[SD Past]]</f>
        <v>-28</v>
      </c>
      <c r="G56" s="75">
        <v>28</v>
      </c>
      <c r="H56" s="88">
        <v>0.91079433458500902</v>
      </c>
      <c r="I56" s="88">
        <v>0.91079433458500902</v>
      </c>
      <c r="J56" s="25">
        <f>Table1[[#This Row],[Rt Current]]-Table1[[#This Row],[Rt Past]]</f>
        <v>0</v>
      </c>
      <c r="K56" s="25">
        <f>VLOOKUP(Table1[[#This Row],[Rt Current]],$G$3:$I$12,3)*5</f>
        <v>15</v>
      </c>
      <c r="L56" s="25">
        <v>24.934601664684898</v>
      </c>
      <c r="M56" s="88">
        <v>10534</v>
      </c>
      <c r="N56">
        <f>Table1[[#This Row],[Increase in Pos Tests Past]]-Table1[[#This Row],[Test Increase Current]]</f>
        <v>0</v>
      </c>
      <c r="O56" s="88">
        <v>10534</v>
      </c>
      <c r="P56" s="25">
        <f>Table1[[#This Row],[Test Increase Current]]/Table1[[#This Row],[Population]]*100000</f>
        <v>204.59477842428223</v>
      </c>
      <c r="Q56" s="77">
        <v>0.14474949844724763</v>
      </c>
      <c r="R56" s="78">
        <f>Table1[[#This Row],[TPR Current]]-Table1[[#This Row],[TPR Past]]</f>
        <v>0</v>
      </c>
      <c r="S56" s="77">
        <v>0.14474949844724763</v>
      </c>
      <c r="T56" s="25">
        <f>VLOOKUP(Table1[[#This Row],[TPR Current]],$J$3:$L$8,3)*5</f>
        <v>40</v>
      </c>
      <c r="U56" s="25">
        <f>SUM(Table1[[#This Row],[Stratified Test Positive Rate]]+Table1[[#This Row],[Stratified Rt]])</f>
        <v>55</v>
      </c>
      <c r="V56" s="88">
        <v>287</v>
      </c>
      <c r="W56" s="36">
        <f>Table1[[#This Row],[Weekly Deaths Current]]-Table1[[#This Row],[Weekly Deaths Past]]</f>
        <v>0</v>
      </c>
      <c r="X56" s="88">
        <v>287</v>
      </c>
      <c r="Y56" s="32">
        <f>Table1[[#This Row],[Weekly Deaths Current]]/Table1[[#This Row],[Population]]*100000</f>
        <v>5.5742074622905839</v>
      </c>
      <c r="Z56" s="88">
        <v>1793</v>
      </c>
      <c r="AA56" s="25">
        <f>Table1[[#This Row],[Total Deaths Current]]-Table1[[#This Row],[Total Deaths Past]]</f>
        <v>0</v>
      </c>
      <c r="AB56" s="88">
        <v>1793</v>
      </c>
      <c r="AC56" s="35">
        <f>Table1[[#This Row],[Total Deaths Current]]/Table1[[#This Row],[Population]]*100000</f>
        <v>34.824229895076712</v>
      </c>
      <c r="AD56" s="88">
        <v>72774</v>
      </c>
      <c r="AE56">
        <f>Table1[[#This Row],[Total Tests Current]]-Table1[[#This Row],[Total Tests Past]]</f>
        <v>0</v>
      </c>
      <c r="AF56" s="88">
        <v>72774</v>
      </c>
      <c r="AG56" s="74">
        <f>(Table1[[#This Row],[Total Tests Current]]/Table1[[#This Row],[Population]])*100000</f>
        <v>1413.4403270408884</v>
      </c>
    </row>
    <row r="57" spans="1:33" x14ac:dyDescent="0.25">
      <c r="C57" s="37" t="s">
        <v>66</v>
      </c>
      <c r="D57" s="22">
        <v>884659</v>
      </c>
      <c r="E57" s="75"/>
      <c r="F57" s="56">
        <f>Table1[[#This Row],[Social Index Current]]-Table1[[#This Row],[SD Past]]</f>
        <v>-25</v>
      </c>
      <c r="G57" s="75">
        <v>25</v>
      </c>
      <c r="H57" s="88">
        <v>1.08946695354399</v>
      </c>
      <c r="I57" s="88">
        <v>1.08946695354399</v>
      </c>
      <c r="J57" s="37">
        <f>Table1[[#This Row],[Rt Current]]-Table1[[#This Row],[Rt Past]]</f>
        <v>0</v>
      </c>
      <c r="K57" s="37">
        <f>VLOOKUP(Table1[[#This Row],[Rt Current]],$G$3:$I$12,3)*5</f>
        <v>35</v>
      </c>
      <c r="L57" s="37">
        <v>6.7675438596491224</v>
      </c>
      <c r="M57" s="88">
        <v>576</v>
      </c>
      <c r="N57">
        <f>Table1[[#This Row],[Increase in Pos Tests Past]]-Table1[[#This Row],[Test Increase Current]]</f>
        <v>0</v>
      </c>
      <c r="O57" s="88">
        <v>576</v>
      </c>
      <c r="P57" s="37">
        <f>Table1[[#This Row],[Test Increase Current]]/Table1[[#This Row],[Population]]*100000</f>
        <v>65.109833280393914</v>
      </c>
      <c r="Q57" s="77">
        <v>7.3647871116225547E-2</v>
      </c>
      <c r="R57" s="78">
        <f>Table1[[#This Row],[TPR Current]]-Table1[[#This Row],[TPR Past]]</f>
        <v>0</v>
      </c>
      <c r="S57" s="77">
        <v>7.3647871116225547E-2</v>
      </c>
      <c r="T57" s="37">
        <f>VLOOKUP(Table1[[#This Row],[TPR Current]],$J$3:$L$8,3)*5</f>
        <v>25</v>
      </c>
      <c r="U57" s="37">
        <f>SUM(Table1[[#This Row],[Stratified Test Positive Rate]]+Table1[[#This Row],[Stratified Rt]])</f>
        <v>60</v>
      </c>
      <c r="V57" s="88">
        <v>12</v>
      </c>
      <c r="W57" s="36">
        <f>Table1[[#This Row],[Weekly Deaths Current]]-Table1[[#This Row],[Weekly Deaths Past]]</f>
        <v>0</v>
      </c>
      <c r="X57" s="88">
        <v>12</v>
      </c>
      <c r="Y57" s="45">
        <f>Table1[[#This Row],[Weekly Deaths Current]]/Table1[[#This Row],[Population]]*100000</f>
        <v>1.3564548600082065</v>
      </c>
      <c r="Z57" s="88">
        <v>135</v>
      </c>
      <c r="AA57" s="37">
        <f>Table1[[#This Row],[Total Deaths Current]]-Table1[[#This Row],[Total Deaths Past]]</f>
        <v>0</v>
      </c>
      <c r="AB57" s="88">
        <v>135</v>
      </c>
      <c r="AC57" s="50">
        <f>Table1[[#This Row],[Total Deaths Current]]/Table1[[#This Row],[Population]]*100000</f>
        <v>15.260117175092322</v>
      </c>
      <c r="AD57" s="88">
        <v>7821</v>
      </c>
      <c r="AE57">
        <f>Table1[[#This Row],[Total Tests Current]]-Table1[[#This Row],[Total Tests Past]]</f>
        <v>0</v>
      </c>
      <c r="AF57" s="88">
        <v>7821</v>
      </c>
      <c r="AG57" s="74">
        <f>(Table1[[#This Row],[Total Tests Current]]/Table1[[#This Row],[Population]])*100000</f>
        <v>884.06945501034863</v>
      </c>
    </row>
    <row r="58" spans="1:33" ht="30" x14ac:dyDescent="0.25">
      <c r="A58" t="s">
        <v>185</v>
      </c>
      <c r="B58" s="63" t="s">
        <v>162</v>
      </c>
      <c r="C58" s="23" t="s">
        <v>140</v>
      </c>
      <c r="D58" s="26">
        <v>6829174</v>
      </c>
      <c r="E58" s="75"/>
      <c r="F58" s="57">
        <f>Table1[[#This Row],[Social Index Current]]-Table1[[#This Row],[SD Past]]</f>
        <v>-26</v>
      </c>
      <c r="G58" s="75">
        <v>26</v>
      </c>
      <c r="H58" s="88">
        <v>0.98014028144167498</v>
      </c>
      <c r="I58" s="88">
        <v>0.98014028144167498</v>
      </c>
      <c r="J58" s="23">
        <f>Table1[[#This Row],[Rt Current]]-Table1[[#This Row],[Rt Past]]</f>
        <v>0</v>
      </c>
      <c r="K58" s="23">
        <f>VLOOKUP(Table1[[#This Row],[Rt Current]],$G$3:$I$12,3)*5</f>
        <v>15</v>
      </c>
      <c r="L58" s="23">
        <v>17.465635227610829</v>
      </c>
      <c r="M58" s="88">
        <v>14147</v>
      </c>
      <c r="N58">
        <f>Table1[[#This Row],[Increase in Pos Tests Past]]-Table1[[#This Row],[Test Increase Current]]</f>
        <v>0</v>
      </c>
      <c r="O58" s="88">
        <v>14147</v>
      </c>
      <c r="P58" s="23">
        <f>Table1[[#This Row],[Test Increase Current]]/Table1[[#This Row],[Population]]*100000</f>
        <v>207.15536022365222</v>
      </c>
      <c r="Q58" s="77">
        <v>8.6748302990538442E-2</v>
      </c>
      <c r="R58" s="78">
        <f>Table1[[#This Row],[TPR Current]]-Table1[[#This Row],[TPR Past]]</f>
        <v>0</v>
      </c>
      <c r="S58" s="77">
        <v>8.6748302990538442E-2</v>
      </c>
      <c r="T58" s="29">
        <f>VLOOKUP(Table1[[#This Row],[TPR Current]],$J$3:$L$8,3)*5</f>
        <v>25</v>
      </c>
      <c r="U58" s="29">
        <f>SUM(Table1[[#This Row],[Stratified Test Positive Rate]]+Table1[[#This Row],[Stratified Rt]])</f>
        <v>40</v>
      </c>
      <c r="V58" s="88">
        <v>114</v>
      </c>
      <c r="W58" s="36">
        <f>Table1[[#This Row],[Weekly Deaths Current]]-Table1[[#This Row],[Weekly Deaths Past]]</f>
        <v>0</v>
      </c>
      <c r="X58" s="88">
        <v>114</v>
      </c>
      <c r="Y58" s="30">
        <f>Table1[[#This Row],[Weekly Deaths Current]]/Table1[[#This Row],[Population]]*100000</f>
        <v>1.6693087626702732</v>
      </c>
      <c r="Z58" s="88">
        <v>1092</v>
      </c>
      <c r="AA58" s="23">
        <f>Table1[[#This Row],[Total Deaths Current]]-Table1[[#This Row],[Total Deaths Past]]</f>
        <v>0</v>
      </c>
      <c r="AB58" s="88">
        <v>1092</v>
      </c>
      <c r="AC58" s="33">
        <f>Table1[[#This Row],[Total Deaths Current]]/Table1[[#This Row],[Population]]*100000</f>
        <v>15.990220779262616</v>
      </c>
      <c r="AD58" s="88">
        <v>163081</v>
      </c>
      <c r="AE58">
        <f>Table1[[#This Row],[Total Tests Current]]-Table1[[#This Row],[Total Tests Past]]</f>
        <v>0</v>
      </c>
      <c r="AF58" s="88">
        <v>163081</v>
      </c>
      <c r="AG58" s="74">
        <f>(Table1[[#This Row],[Total Tests Current]]/Table1[[#This Row],[Population]])*100000</f>
        <v>2388.0047572371122</v>
      </c>
    </row>
    <row r="59" spans="1:33" ht="60" x14ac:dyDescent="0.25">
      <c r="A59" t="s">
        <v>186</v>
      </c>
      <c r="B59" s="63" t="s">
        <v>163</v>
      </c>
      <c r="C59" s="25" t="s">
        <v>199</v>
      </c>
      <c r="D59" s="28">
        <v>28995881</v>
      </c>
      <c r="E59" s="75"/>
      <c r="F59" s="54">
        <f>Table1[[#This Row],[Social Index Current]]-Table1[[#This Row],[SD Past]]</f>
        <v>-36</v>
      </c>
      <c r="G59" s="75">
        <v>36</v>
      </c>
      <c r="H59" s="88">
        <v>0.93338032441165097</v>
      </c>
      <c r="I59" s="88">
        <v>0.93338032441165097</v>
      </c>
      <c r="J59" s="25">
        <f>Table1[[#This Row],[Rt Current]]-Table1[[#This Row],[Rt Past]]</f>
        <v>0</v>
      </c>
      <c r="K59" s="25">
        <f>VLOOKUP(Table1[[#This Row],[Rt Current]],$G$3:$I$12,3)*5</f>
        <v>15</v>
      </c>
      <c r="L59" s="25">
        <v>17.097357250445022</v>
      </c>
      <c r="M59" s="88">
        <v>56091</v>
      </c>
      <c r="N59">
        <f>Table1[[#This Row],[Increase in Pos Tests Past]]-Table1[[#This Row],[Test Increase Current]]</f>
        <v>0</v>
      </c>
      <c r="O59" s="88">
        <v>56091</v>
      </c>
      <c r="P59" s="25">
        <f>Table1[[#This Row],[Test Increase Current]]/Table1[[#This Row],[Population]]*100000</f>
        <v>193.44471719966018</v>
      </c>
      <c r="Q59" s="77">
        <v>0.13825596986965866</v>
      </c>
      <c r="R59" s="78">
        <f>Table1[[#This Row],[TPR Current]]-Table1[[#This Row],[TPR Past]]</f>
        <v>0</v>
      </c>
      <c r="S59" s="77">
        <v>0.13825596986965866</v>
      </c>
      <c r="T59" s="25">
        <f>VLOOKUP(Table1[[#This Row],[TPR Current]],$J$3:$L$8,3)*5</f>
        <v>40</v>
      </c>
      <c r="U59" s="25">
        <f>SUM(Table1[[#This Row],[Stratified Test Positive Rate]]+Table1[[#This Row],[Stratified Rt]])</f>
        <v>55</v>
      </c>
      <c r="V59" s="88">
        <v>1303</v>
      </c>
      <c r="W59" s="36">
        <f>Table1[[#This Row],[Weekly Deaths Current]]-Table1[[#This Row],[Weekly Deaths Past]]</f>
        <v>0</v>
      </c>
      <c r="X59" s="88">
        <v>1303</v>
      </c>
      <c r="Y59" s="32">
        <f>Table1[[#This Row],[Weekly Deaths Current]]/Table1[[#This Row],[Population]]*100000</f>
        <v>4.4937417145559397</v>
      </c>
      <c r="Z59" s="88">
        <v>7016</v>
      </c>
      <c r="AA59" s="25">
        <f>Table1[[#This Row],[Total Deaths Current]]-Table1[[#This Row],[Total Deaths Past]]</f>
        <v>0</v>
      </c>
      <c r="AB59" s="88">
        <v>7016</v>
      </c>
      <c r="AC59" s="35">
        <f>Table1[[#This Row],[Total Deaths Current]]/Table1[[#This Row],[Population]]*100000</f>
        <v>24.196540191346486</v>
      </c>
      <c r="AD59" s="88">
        <v>405704</v>
      </c>
      <c r="AE59">
        <f>Table1[[#This Row],[Total Tests Current]]-Table1[[#This Row],[Total Tests Past]]</f>
        <v>0</v>
      </c>
      <c r="AF59" s="88">
        <v>405704</v>
      </c>
      <c r="AG59" s="74">
        <f>(Table1[[#This Row],[Total Tests Current]]/Table1[[#This Row],[Population]])*100000</f>
        <v>1399.1780418742924</v>
      </c>
    </row>
    <row r="60" spans="1:33" x14ac:dyDescent="0.25">
      <c r="B60" t="s">
        <v>164</v>
      </c>
      <c r="C60" s="23" t="s">
        <v>67</v>
      </c>
      <c r="D60" s="26">
        <v>3205958</v>
      </c>
      <c r="E60" s="75"/>
      <c r="F60" s="57">
        <f>Table1[[#This Row],[Social Index Current]]-Table1[[#This Row],[SD Past]]</f>
        <v>-28</v>
      </c>
      <c r="G60" s="75">
        <v>28</v>
      </c>
      <c r="H60" s="100">
        <v>1.0317502003432399</v>
      </c>
      <c r="I60" s="100">
        <v>1.0317502003432399</v>
      </c>
      <c r="J60" s="23">
        <f>Table1[[#This Row],[Rt Current]]-Table1[[#This Row],[Rt Past]]</f>
        <v>0</v>
      </c>
      <c r="K60" s="23">
        <f>VLOOKUP(Table1[[#This Row],[Rt Current]],$G$3:$I$12,3)*5</f>
        <v>35</v>
      </c>
      <c r="L60" s="23">
        <v>24.754752851711025</v>
      </c>
      <c r="M60" s="88">
        <v>3120</v>
      </c>
      <c r="N60">
        <f>Table1[[#This Row],[Increase in Pos Tests Past]]-Table1[[#This Row],[Test Increase Current]]</f>
        <v>0</v>
      </c>
      <c r="O60" s="88">
        <v>3120</v>
      </c>
      <c r="P60" s="23">
        <f>Table1[[#This Row],[Test Increase Current]]/Table1[[#This Row],[Population]]*100000</f>
        <v>97.318804550777017</v>
      </c>
      <c r="Q60" s="77">
        <v>0.10288880094974277</v>
      </c>
      <c r="R60" s="78">
        <f>Table1[[#This Row],[TPR Current]]-Table1[[#This Row],[TPR Past]]</f>
        <v>0</v>
      </c>
      <c r="S60" s="77">
        <v>0.10288880094974277</v>
      </c>
      <c r="T60" s="29">
        <f>VLOOKUP(Table1[[#This Row],[TPR Current]],$J$3:$L$8,3)*5</f>
        <v>25</v>
      </c>
      <c r="U60" s="29">
        <f>SUM(Table1[[#This Row],[Stratified Test Positive Rate]]+Table1[[#This Row],[Stratified Rt]])</f>
        <v>60</v>
      </c>
      <c r="V60" s="88">
        <v>33</v>
      </c>
      <c r="W60" s="36">
        <f>Table1[[#This Row],[Weekly Deaths Current]]-Table1[[#This Row],[Weekly Deaths Past]]</f>
        <v>0</v>
      </c>
      <c r="X60" s="88">
        <v>33</v>
      </c>
      <c r="Y60" s="30">
        <f>Table1[[#This Row],[Weekly Deaths Current]]/Table1[[#This Row],[Population]]*100000</f>
        <v>1.02933350967168</v>
      </c>
      <c r="Z60" s="88">
        <v>314</v>
      </c>
      <c r="AA60" s="23">
        <f>Table1[[#This Row],[Total Deaths Current]]-Table1[[#This Row],[Total Deaths Past]]</f>
        <v>0</v>
      </c>
      <c r="AB60" s="88">
        <v>314</v>
      </c>
      <c r="AC60" s="33">
        <f>Table1[[#This Row],[Total Deaths Current]]/Table1[[#This Row],[Population]]*100000</f>
        <v>9.7942643041487134</v>
      </c>
      <c r="AD60" s="88">
        <v>30324</v>
      </c>
      <c r="AE60">
        <f>Table1[[#This Row],[Total Tests Current]]-Table1[[#This Row],[Total Tests Past]]</f>
        <v>0</v>
      </c>
      <c r="AF60" s="88">
        <v>30324</v>
      </c>
      <c r="AG60" s="74">
        <f>(Table1[[#This Row],[Total Tests Current]]/Table1[[#This Row],[Population]])*100000</f>
        <v>945.86391961466745</v>
      </c>
    </row>
    <row r="61" spans="1:33" x14ac:dyDescent="0.25">
      <c r="A61" t="s">
        <v>187</v>
      </c>
      <c r="B61" t="s">
        <v>165</v>
      </c>
      <c r="C61" s="37" t="s">
        <v>36</v>
      </c>
      <c r="D61" s="22">
        <v>8535519</v>
      </c>
      <c r="E61" s="75"/>
      <c r="F61" s="56">
        <f>Table1[[#This Row],[Social Index Current]]-Table1[[#This Row],[SD Past]]</f>
        <v>-30</v>
      </c>
      <c r="G61" s="75">
        <v>30</v>
      </c>
      <c r="H61" s="88">
        <v>1.02329064255659</v>
      </c>
      <c r="I61" s="88">
        <v>1.02329064255659</v>
      </c>
      <c r="J61" s="37">
        <f>Table1[[#This Row],[Rt Current]]-Table1[[#This Row],[Rt Past]]</f>
        <v>0</v>
      </c>
      <c r="K61" s="37">
        <f>VLOOKUP(Table1[[#This Row],[Rt Current]],$G$3:$I$12,3)*5</f>
        <v>35</v>
      </c>
      <c r="L61" s="37">
        <v>5.5281271837875607</v>
      </c>
      <c r="M61" s="88">
        <v>7034</v>
      </c>
      <c r="N61">
        <f>Table1[[#This Row],[Increase in Pos Tests Past]]-Table1[[#This Row],[Test Increase Current]]</f>
        <v>0</v>
      </c>
      <c r="O61" s="88">
        <v>7034</v>
      </c>
      <c r="P61" s="37">
        <f>Table1[[#This Row],[Test Increase Current]]/Table1[[#This Row],[Population]]*100000</f>
        <v>82.40857995864107</v>
      </c>
      <c r="Q61" s="77">
        <v>6.0691821186053131E-2</v>
      </c>
      <c r="R61" s="78">
        <f>Table1[[#This Row],[TPR Current]]-Table1[[#This Row],[TPR Past]]</f>
        <v>0</v>
      </c>
      <c r="S61" s="77">
        <v>6.0691821186053131E-2</v>
      </c>
      <c r="T61" s="37">
        <f>VLOOKUP(Table1[[#This Row],[TPR Current]],$J$3:$L$8,3)*5</f>
        <v>15</v>
      </c>
      <c r="U61" s="37">
        <f>SUM(Table1[[#This Row],[Stratified Test Positive Rate]]+Table1[[#This Row],[Stratified Rt]])</f>
        <v>50</v>
      </c>
      <c r="V61" s="88">
        <v>136</v>
      </c>
      <c r="W61" s="36">
        <f>Table1[[#This Row],[Weekly Deaths Current]]-Table1[[#This Row],[Weekly Deaths Past]]</f>
        <v>0</v>
      </c>
      <c r="X61" s="88">
        <v>136</v>
      </c>
      <c r="Y61" s="45">
        <f>Table1[[#This Row],[Weekly Deaths Current]]/Table1[[#This Row],[Population]]*100000</f>
        <v>1.5933418928597078</v>
      </c>
      <c r="Z61" s="88">
        <v>2218</v>
      </c>
      <c r="AA61" s="37">
        <f>Table1[[#This Row],[Total Deaths Current]]-Table1[[#This Row],[Total Deaths Past]]</f>
        <v>0</v>
      </c>
      <c r="AB61" s="88">
        <v>2218</v>
      </c>
      <c r="AC61" s="50">
        <f>Table1[[#This Row],[Total Deaths Current]]/Table1[[#This Row],[Population]]*100000</f>
        <v>25.985531752667882</v>
      </c>
      <c r="AD61" s="88">
        <v>115897</v>
      </c>
      <c r="AE61">
        <f>Table1[[#This Row],[Total Tests Current]]-Table1[[#This Row],[Total Tests Past]]</f>
        <v>0</v>
      </c>
      <c r="AF61" s="88">
        <v>115897</v>
      </c>
      <c r="AG61" s="74">
        <f>(Table1[[#This Row],[Total Tests Current]]/Table1[[#This Row],[Population]])*100000</f>
        <v>1357.820186446776</v>
      </c>
    </row>
    <row r="62" spans="1:33" x14ac:dyDescent="0.25">
      <c r="C62" s="25" t="s">
        <v>37</v>
      </c>
      <c r="D62" s="28">
        <v>623989</v>
      </c>
      <c r="E62" s="75"/>
      <c r="F62" s="54">
        <f>Table1[[#This Row],[Social Index Current]]-Table1[[#This Row],[SD Past]]</f>
        <v>-25</v>
      </c>
      <c r="G62" s="75">
        <v>25</v>
      </c>
      <c r="H62" s="88">
        <v>0.87661165300564503</v>
      </c>
      <c r="I62" s="88">
        <v>0.87661165300564503</v>
      </c>
      <c r="J62" s="25">
        <f>Table1[[#This Row],[Rt Current]]-Table1[[#This Row],[Rt Past]]</f>
        <v>0</v>
      </c>
      <c r="K62" s="25">
        <f>VLOOKUP(Table1[[#This Row],[Rt Current]],$G$3:$I$12,3)*5</f>
        <v>12.5</v>
      </c>
      <c r="L62" s="25">
        <v>55.98</v>
      </c>
      <c r="M62" s="88">
        <v>25</v>
      </c>
      <c r="N62">
        <f>Table1[[#This Row],[Increase in Pos Tests Past]]-Table1[[#This Row],[Test Increase Current]]</f>
        <v>0</v>
      </c>
      <c r="O62" s="88">
        <v>25</v>
      </c>
      <c r="P62" s="25">
        <f>Table1[[#This Row],[Test Increase Current]]/Table1[[#This Row],[Population]]*100000</f>
        <v>4.0064808834771126</v>
      </c>
      <c r="Q62" s="77">
        <v>3.7758646730101193E-3</v>
      </c>
      <c r="R62" s="78">
        <f>Table1[[#This Row],[TPR Current]]-Table1[[#This Row],[TPR Past]]</f>
        <v>0</v>
      </c>
      <c r="S62" s="77">
        <v>3.7758646730101193E-3</v>
      </c>
      <c r="T62" s="25">
        <f>VLOOKUP(Table1[[#This Row],[TPR Current]],$J$3:$L$8,3)*5</f>
        <v>10</v>
      </c>
      <c r="U62" s="25">
        <f>SUM(Table1[[#This Row],[Stratified Test Positive Rate]]+Table1[[#This Row],[Stratified Rt]])</f>
        <v>22.5</v>
      </c>
      <c r="V62" s="88">
        <v>1</v>
      </c>
      <c r="W62" s="36">
        <f>Table1[[#This Row],[Weekly Deaths Current]]-Table1[[#This Row],[Weekly Deaths Past]]</f>
        <v>0</v>
      </c>
      <c r="X62" s="88">
        <v>1</v>
      </c>
      <c r="Y62" s="32">
        <v>1E-4</v>
      </c>
      <c r="Z62" s="88">
        <v>8</v>
      </c>
      <c r="AA62" s="25">
        <f>Table1[[#This Row],[Total Deaths Current]]-Table1[[#This Row],[Total Deaths Past]]</f>
        <v>0</v>
      </c>
      <c r="AB62" s="88">
        <v>8</v>
      </c>
      <c r="AC62" s="35">
        <f>Table1[[#This Row],[Total Deaths Current]]/Table1[[#This Row],[Population]]*100000</f>
        <v>1.2820738827126759</v>
      </c>
      <c r="AD62" s="88">
        <v>6621</v>
      </c>
      <c r="AE62">
        <f>Table1[[#This Row],[Total Tests Current]]-Table1[[#This Row],[Total Tests Past]]</f>
        <v>0</v>
      </c>
      <c r="AF62" s="88">
        <v>6621</v>
      </c>
      <c r="AG62" s="74">
        <f>(Table1[[#This Row],[Total Tests Current]]/Table1[[#This Row],[Population]])*100000</f>
        <v>1061.0763971800784</v>
      </c>
    </row>
    <row r="63" spans="1:33" ht="30" x14ac:dyDescent="0.25">
      <c r="A63" s="63" t="s">
        <v>188</v>
      </c>
      <c r="B63" t="s">
        <v>166</v>
      </c>
      <c r="C63" s="23" t="s">
        <v>202</v>
      </c>
      <c r="D63" s="26">
        <v>7614893</v>
      </c>
      <c r="E63" s="75"/>
      <c r="F63" s="57">
        <f>Table1[[#This Row],[Social Index Current]]-Table1[[#This Row],[SD Past]]</f>
        <v>-30</v>
      </c>
      <c r="G63" s="75">
        <v>30</v>
      </c>
      <c r="H63" s="88">
        <v>1.0123604741529799</v>
      </c>
      <c r="I63" s="88">
        <v>1.0123604741529799</v>
      </c>
      <c r="J63" s="23">
        <f>Table1[[#This Row],[Rt Current]]-Table1[[#This Row],[Rt Past]]</f>
        <v>0</v>
      </c>
      <c r="K63" s="23">
        <f>VLOOKUP(Table1[[#This Row],[Rt Current]],$G$3:$I$12,3)*5</f>
        <v>35</v>
      </c>
      <c r="L63" s="23">
        <v>20.170572207084469</v>
      </c>
      <c r="M63" s="88">
        <v>5538</v>
      </c>
      <c r="N63">
        <f>Table1[[#This Row],[Increase in Pos Tests Past]]-Table1[[#This Row],[Test Increase Current]]</f>
        <v>0</v>
      </c>
      <c r="O63" s="88">
        <v>5538</v>
      </c>
      <c r="P63" s="23">
        <f>Table1[[#This Row],[Test Increase Current]]/Table1[[#This Row],[Population]]*100000</f>
        <v>72.725906982540664</v>
      </c>
      <c r="Q63" s="77">
        <v>6.227159771963163E-2</v>
      </c>
      <c r="R63" s="78">
        <f>Table1[[#This Row],[TPR Current]]-Table1[[#This Row],[TPR Past]]</f>
        <v>0</v>
      </c>
      <c r="S63" s="77">
        <v>6.227159771963163E-2</v>
      </c>
      <c r="T63" s="29">
        <f>VLOOKUP(Table1[[#This Row],[TPR Current]],$J$3:$L$8,3)*5</f>
        <v>25</v>
      </c>
      <c r="U63" s="29">
        <f>SUM(Table1[[#This Row],[Stratified Test Positive Rate]]+Table1[[#This Row],[Stratified Rt]])</f>
        <v>60</v>
      </c>
      <c r="V63" s="88">
        <v>95</v>
      </c>
      <c r="W63" s="36">
        <f>Table1[[#This Row],[Weekly Deaths Current]]-Table1[[#This Row],[Weekly Deaths Past]]</f>
        <v>0</v>
      </c>
      <c r="X63" s="88">
        <v>95</v>
      </c>
      <c r="Y63" s="30">
        <f>Table1[[#This Row],[Weekly Deaths Current]]/Table1[[#This Row],[Population]]*100000</f>
        <v>1.2475552840991988</v>
      </c>
      <c r="Z63" s="88">
        <v>57</v>
      </c>
      <c r="AA63" s="23">
        <f>Table1[[#This Row],[Total Deaths Current]]-Table1[[#This Row],[Total Deaths Past]]</f>
        <v>0</v>
      </c>
      <c r="AB63" s="88">
        <v>57</v>
      </c>
      <c r="AC63" s="33">
        <f>Table1[[#This Row],[Total Deaths Current]]/Table1[[#This Row],[Population]]*100000</f>
        <v>0.74853317045951917</v>
      </c>
      <c r="AD63" s="88">
        <v>88933</v>
      </c>
      <c r="AE63">
        <f>Table1[[#This Row],[Total Tests Current]]-Table1[[#This Row],[Total Tests Past]]</f>
        <v>0</v>
      </c>
      <c r="AF63" s="88">
        <v>88933</v>
      </c>
      <c r="AG63" s="74">
        <f>(Table1[[#This Row],[Total Tests Current]]/Table1[[#This Row],[Population]])*100000</f>
        <v>1167.8824640083585</v>
      </c>
    </row>
    <row r="64" spans="1:33" ht="120" x14ac:dyDescent="0.25">
      <c r="A64" s="63" t="s">
        <v>189</v>
      </c>
      <c r="B64" t="s">
        <v>167</v>
      </c>
      <c r="C64" s="23" t="s">
        <v>39</v>
      </c>
      <c r="D64" s="26">
        <v>5822434</v>
      </c>
      <c r="E64" s="75"/>
      <c r="F64" s="57">
        <f>Table1[[#This Row],[Social Index Current]]-Table1[[#This Row],[SD Past]]</f>
        <v>-26</v>
      </c>
      <c r="G64" s="75">
        <v>26</v>
      </c>
      <c r="H64" s="88">
        <v>0.98550338885058697</v>
      </c>
      <c r="I64" s="88">
        <v>0.98550338885058697</v>
      </c>
      <c r="J64" s="23">
        <f>Table1[[#This Row],[Rt Current]]-Table1[[#This Row],[Rt Past]]</f>
        <v>0</v>
      </c>
      <c r="K64" s="23">
        <f>VLOOKUP(Table1[[#This Row],[Rt Current]],$G$3:$I$12,3)*5</f>
        <v>15</v>
      </c>
      <c r="L64" s="23">
        <v>11.013130029648455</v>
      </c>
      <c r="M64" s="88">
        <v>6120</v>
      </c>
      <c r="N64">
        <f>Table1[[#This Row],[Increase in Pos Tests Past]]-Table1[[#This Row],[Test Increase Current]]</f>
        <v>0</v>
      </c>
      <c r="O64" s="88">
        <v>6120</v>
      </c>
      <c r="P64" s="23">
        <f>Table1[[#This Row],[Test Increase Current]]/Table1[[#This Row],[Population]]*100000</f>
        <v>105.11068051608657</v>
      </c>
      <c r="Q64" s="77">
        <v>6.5349706353443671E-2</v>
      </c>
      <c r="R64" s="78">
        <f>Table1[[#This Row],[TPR Current]]-Table1[[#This Row],[TPR Past]]</f>
        <v>0</v>
      </c>
      <c r="S64" s="77">
        <v>6.5349706353443671E-2</v>
      </c>
      <c r="T64" s="29">
        <f>VLOOKUP(Table1[[#This Row],[TPR Current]],$J$3:$L$8,3)*5</f>
        <v>25</v>
      </c>
      <c r="U64" s="29">
        <f>SUM(Table1[[#This Row],[Stratified Test Positive Rate]]+Table1[[#This Row],[Stratified Rt]])</f>
        <v>40</v>
      </c>
      <c r="V64" s="88">
        <v>56</v>
      </c>
      <c r="W64" s="36">
        <f>Table1[[#This Row],[Weekly Deaths Current]]-Table1[[#This Row],[Weekly Deaths Past]]</f>
        <v>0</v>
      </c>
      <c r="X64" s="88">
        <v>56</v>
      </c>
      <c r="Y64" s="30">
        <f>Table1[[#This Row],[Weekly Deaths Current]]/Table1[[#This Row],[Population]]*100000</f>
        <v>0.96179707661778568</v>
      </c>
      <c r="Z64" s="88">
        <v>1596</v>
      </c>
      <c r="AA64" s="23">
        <f>Table1[[#This Row],[Total Deaths Current]]-Table1[[#This Row],[Total Deaths Past]]</f>
        <v>0</v>
      </c>
      <c r="AB64" s="88">
        <v>1596</v>
      </c>
      <c r="AC64" s="33">
        <f>Table1[[#This Row],[Total Deaths Current]]/Table1[[#This Row],[Population]]*100000</f>
        <v>27.411216683606892</v>
      </c>
      <c r="AD64" s="88">
        <v>93650</v>
      </c>
      <c r="AE64">
        <f>Table1[[#This Row],[Total Tests Current]]-Table1[[#This Row],[Total Tests Past]]</f>
        <v>0</v>
      </c>
      <c r="AF64" s="88">
        <v>93650</v>
      </c>
      <c r="AG64" s="74">
        <f>(Table1[[#This Row],[Total Tests Current]]/Table1[[#This Row],[Population]])*100000</f>
        <v>1608.433861165279</v>
      </c>
    </row>
    <row r="65" spans="3:33" x14ac:dyDescent="0.25">
      <c r="C65" s="25" t="s">
        <v>60</v>
      </c>
      <c r="D65" s="28">
        <v>1792147</v>
      </c>
      <c r="E65" s="75"/>
      <c r="F65" s="54">
        <f>Table1[[#This Row],[Social Index Current]]-Table1[[#This Row],[SD Past]]</f>
        <v>-26</v>
      </c>
      <c r="G65" s="75">
        <v>26</v>
      </c>
      <c r="H65" s="88">
        <v>0.97964817238172996</v>
      </c>
      <c r="I65" s="88">
        <v>0.97964817238172996</v>
      </c>
      <c r="J65" s="25">
        <f>Table1[[#This Row],[Rt Current]]-Table1[[#This Row],[Rt Past]]</f>
        <v>0</v>
      </c>
      <c r="K65" s="25">
        <f>VLOOKUP(Table1[[#This Row],[Rt Current]],$G$3:$I$12,3)*5</f>
        <v>15</v>
      </c>
      <c r="L65" s="25">
        <v>76.804733727810657</v>
      </c>
      <c r="M65" s="88">
        <v>919</v>
      </c>
      <c r="N65">
        <f>Table1[[#This Row],[Increase in Pos Tests Past]]-Table1[[#This Row],[Test Increase Current]]</f>
        <v>0</v>
      </c>
      <c r="O65" s="88">
        <v>919</v>
      </c>
      <c r="P65" s="25">
        <f>Table1[[#This Row],[Test Increase Current]]/Table1[[#This Row],[Population]]*100000</f>
        <v>51.279275639777318</v>
      </c>
      <c r="Q65" s="77">
        <v>3.1675455830145111E-2</v>
      </c>
      <c r="R65" s="78">
        <f>Table1[[#This Row],[TPR Current]]-Table1[[#This Row],[TPR Past]]</f>
        <v>0</v>
      </c>
      <c r="S65" s="77">
        <v>3.1675455830145111E-2</v>
      </c>
      <c r="T65" s="25">
        <f>VLOOKUP(Table1[[#This Row],[TPR Current]],$J$3:$L$8,3)*5</f>
        <v>15</v>
      </c>
      <c r="U65" s="25">
        <f>SUM(Table1[[#This Row],[Stratified Test Positive Rate]]+Table1[[#This Row],[Stratified Rt]])</f>
        <v>30</v>
      </c>
      <c r="V65" s="88">
        <v>11</v>
      </c>
      <c r="W65" s="36">
        <f>Table1[[#This Row],[Weekly Deaths Current]]-Table1[[#This Row],[Weekly Deaths Past]]</f>
        <v>0</v>
      </c>
      <c r="X65" s="88">
        <v>11</v>
      </c>
      <c r="Y65" s="32">
        <f>Table1[[#This Row],[Weekly Deaths Current]]/Table1[[#This Row],[Population]]*100000</f>
        <v>0.61378893584064254</v>
      </c>
      <c r="Z65" s="88">
        <v>117</v>
      </c>
      <c r="AA65" s="25">
        <f>Table1[[#This Row],[Total Deaths Current]]-Table1[[#This Row],[Total Deaths Past]]</f>
        <v>0</v>
      </c>
      <c r="AB65" s="88">
        <v>117</v>
      </c>
      <c r="AC65" s="35">
        <f>Table1[[#This Row],[Total Deaths Current]]/Table1[[#This Row],[Population]]*100000</f>
        <v>6.5284823175777431</v>
      </c>
      <c r="AD65" s="88">
        <v>29013</v>
      </c>
      <c r="AE65">
        <f>Table1[[#This Row],[Total Tests Current]]-Table1[[#This Row],[Total Tests Past]]</f>
        <v>0</v>
      </c>
      <c r="AF65" s="88">
        <v>29013</v>
      </c>
      <c r="AG65" s="74">
        <f>(Table1[[#This Row],[Total Tests Current]]/Table1[[#This Row],[Population]])*100000</f>
        <v>1618.8962177767785</v>
      </c>
    </row>
    <row r="66" spans="3:33" x14ac:dyDescent="0.25">
      <c r="C66" s="23" t="s">
        <v>205</v>
      </c>
      <c r="D66" s="26">
        <v>578759</v>
      </c>
      <c r="E66" s="75"/>
      <c r="F66" s="57">
        <f>Table1[[#This Row],[Social Index Current]]-Table1[[#This Row],[SD Past]]</f>
        <v>-26</v>
      </c>
      <c r="G66" s="75">
        <v>26</v>
      </c>
      <c r="H66" s="88">
        <v>1.0586005187554499</v>
      </c>
      <c r="I66" s="88">
        <v>1.0586005187554499</v>
      </c>
      <c r="J66" s="23">
        <f>Table1[[#This Row],[Rt Current]]-Table1[[#This Row],[Rt Past]]</f>
        <v>0</v>
      </c>
      <c r="K66" s="23">
        <f>VLOOKUP(Table1[[#This Row],[Rt Current]],$G$3:$I$12,3)*5</f>
        <v>35</v>
      </c>
      <c r="L66" s="23">
        <v>29.74712643678161</v>
      </c>
      <c r="M66" s="88">
        <v>328</v>
      </c>
      <c r="N66">
        <f>Table1[[#This Row],[Increase in Pos Tests Past]]-Table1[[#This Row],[Test Increase Current]]</f>
        <v>0</v>
      </c>
      <c r="O66" s="88">
        <v>328</v>
      </c>
      <c r="P66" s="23">
        <f>Table1[[#This Row],[Test Increase Current]]/Table1[[#This Row],[Population]]*100000</f>
        <v>56.672984782958018</v>
      </c>
      <c r="Q66" s="77">
        <v>5.0175921676610065E-2</v>
      </c>
      <c r="R66" s="78">
        <f>Table1[[#This Row],[TPR Current]]-Table1[[#This Row],[TPR Past]]</f>
        <v>0</v>
      </c>
      <c r="S66" s="77">
        <v>5.0175921676610065E-2</v>
      </c>
      <c r="T66" s="29">
        <f>VLOOKUP(Table1[[#This Row],[TPR Current]],$J$3:$L$8,3)*5</f>
        <v>15</v>
      </c>
      <c r="U66" s="29">
        <f>SUM(Table1[[#This Row],[Stratified Test Positive Rate]]+Table1[[#This Row],[Stratified Rt]])</f>
        <v>50</v>
      </c>
      <c r="V66" s="88">
        <v>2</v>
      </c>
      <c r="W66" s="36">
        <f>Table1[[#This Row],[Weekly Deaths Current]]-Table1[[#This Row],[Weekly Deaths Past]]</f>
        <v>0</v>
      </c>
      <c r="X66" s="88">
        <v>2</v>
      </c>
      <c r="Y66" s="30">
        <f>Table1[[#This Row],[Weekly Deaths Current]]/Table1[[#This Row],[Population]]*100000</f>
        <v>0.34556698038389039</v>
      </c>
      <c r="Z66" s="88">
        <v>27</v>
      </c>
      <c r="AA66" s="23">
        <f>Table1[[#This Row],[Total Deaths Current]]-Table1[[#This Row],[Total Deaths Past]]</f>
        <v>0</v>
      </c>
      <c r="AB66" s="88">
        <v>27</v>
      </c>
      <c r="AC66" s="33">
        <f>Table1[[#This Row],[Total Deaths Current]]/Table1[[#This Row],[Population]]*100000</f>
        <v>4.6651542351825199</v>
      </c>
      <c r="AD66" s="88">
        <v>6537</v>
      </c>
      <c r="AE66">
        <f>Table1[[#This Row],[Total Tests Current]]-Table1[[#This Row],[Total Tests Past]]</f>
        <v>0</v>
      </c>
      <c r="AF66" s="88">
        <v>6537</v>
      </c>
      <c r="AG66" s="74">
        <f>(Table1[[#This Row],[Total Tests Current]]/Table1[[#This Row],[Population]])*100000</f>
        <v>1129.4856753847455</v>
      </c>
    </row>
    <row r="68" spans="3:33" x14ac:dyDescent="0.25">
      <c r="E68" s="83" t="s">
        <v>235</v>
      </c>
    </row>
    <row r="69" spans="3:33" x14ac:dyDescent="0.25">
      <c r="E69" t="s">
        <v>236</v>
      </c>
    </row>
  </sheetData>
  <phoneticPr fontId="26"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02763-15CF-4E44-92DE-DD3F8FF0CC3D}">
  <sheetPr codeName="Sheet8">
    <tabColor rgb="FF0070C0"/>
  </sheetPr>
  <dimension ref="A1:AF42"/>
  <sheetViews>
    <sheetView topLeftCell="A10" zoomScale="80" zoomScaleNormal="80" workbookViewId="0">
      <pane xSplit="2" topLeftCell="M1" activePane="topRight" state="frozen"/>
      <selection activeCell="A13" sqref="A13"/>
      <selection pane="topRight" activeCell="AF16" sqref="AF16:AF39"/>
    </sheetView>
  </sheetViews>
  <sheetFormatPr defaultRowHeight="15" x14ac:dyDescent="0.25"/>
  <cols>
    <col min="1" max="1" width="15.28515625" customWidth="1"/>
    <col min="3" max="5" width="17.5703125" customWidth="1"/>
    <col min="6" max="6" width="17.7109375" customWidth="1"/>
    <col min="7" max="7" width="17.28515625" customWidth="1"/>
    <col min="8" max="8" width="15.140625" customWidth="1"/>
    <col min="9" max="9" width="22.28515625" bestFit="1" customWidth="1"/>
    <col min="10" max="10" width="22.28515625" customWidth="1"/>
    <col min="11" max="11" width="21" customWidth="1"/>
    <col min="12" max="12" width="21.5703125" bestFit="1" customWidth="1"/>
    <col min="13" max="13" width="15.28515625" customWidth="1"/>
    <col min="14" max="14" width="17.85546875" bestFit="1" customWidth="1"/>
    <col min="15" max="15" width="24.28515625" customWidth="1"/>
    <col min="16" max="16" width="21.140625" customWidth="1"/>
    <col min="17" max="17" width="14.28515625" bestFit="1" customWidth="1"/>
    <col min="18" max="18" width="15.28515625" bestFit="1" customWidth="1"/>
    <col min="19" max="19" width="19.7109375" customWidth="1"/>
    <col min="21" max="21" width="15.7109375" customWidth="1"/>
    <col min="22" max="22" width="10.85546875" bestFit="1" customWidth="1"/>
    <col min="23" max="23" width="15.140625" bestFit="1" customWidth="1"/>
    <col min="24" max="24" width="12" customWidth="1"/>
    <col min="25" max="25" width="14.7109375" customWidth="1"/>
    <col min="26" max="26" width="10.42578125" customWidth="1"/>
    <col min="27" max="27" width="13.85546875" customWidth="1"/>
    <col min="28" max="28" width="10.85546875" customWidth="1"/>
    <col min="29" max="29" width="15.42578125" customWidth="1"/>
    <col min="30" max="30" width="15.28515625" customWidth="1"/>
    <col min="31" max="31" width="18.140625" bestFit="1" customWidth="1"/>
  </cols>
  <sheetData>
    <row r="1" spans="1:32" x14ac:dyDescent="0.25">
      <c r="F1" s="66" t="s">
        <v>0</v>
      </c>
      <c r="G1" s="67"/>
      <c r="H1" s="67"/>
      <c r="I1" s="66" t="s">
        <v>1</v>
      </c>
      <c r="J1" s="67"/>
      <c r="K1" s="68"/>
    </row>
    <row r="2" spans="1:32" x14ac:dyDescent="0.25">
      <c r="F2" s="69" t="s">
        <v>2</v>
      </c>
      <c r="G2" s="65" t="s">
        <v>3</v>
      </c>
      <c r="H2" s="65" t="s">
        <v>4</v>
      </c>
      <c r="I2" s="69" t="s">
        <v>2</v>
      </c>
      <c r="J2" s="65" t="s">
        <v>3</v>
      </c>
      <c r="K2" s="70" t="s">
        <v>4</v>
      </c>
    </row>
    <row r="3" spans="1:32" x14ac:dyDescent="0.25">
      <c r="F3" s="69">
        <v>0</v>
      </c>
      <c r="G3" s="65">
        <v>0.25</v>
      </c>
      <c r="H3" s="65">
        <v>0.5</v>
      </c>
      <c r="I3" s="69">
        <v>0</v>
      </c>
      <c r="J3" s="65">
        <v>0.03</v>
      </c>
      <c r="K3" s="70">
        <v>2</v>
      </c>
    </row>
    <row r="4" spans="1:32" x14ac:dyDescent="0.25">
      <c r="F4" s="69">
        <v>0.26</v>
      </c>
      <c r="G4" s="65">
        <v>0.5</v>
      </c>
      <c r="H4" s="65">
        <v>1</v>
      </c>
      <c r="I4" s="69">
        <v>3.1E-2</v>
      </c>
      <c r="J4" s="65">
        <v>0.06</v>
      </c>
      <c r="K4" s="70">
        <v>3</v>
      </c>
    </row>
    <row r="5" spans="1:32" x14ac:dyDescent="0.25">
      <c r="F5" s="69">
        <v>0.61</v>
      </c>
      <c r="G5" s="65">
        <v>0.7</v>
      </c>
      <c r="H5" s="65">
        <v>1.5</v>
      </c>
      <c r="I5" s="69">
        <v>6.0999999999999999E-2</v>
      </c>
      <c r="J5" s="65">
        <v>0.12</v>
      </c>
      <c r="K5" s="70">
        <v>5</v>
      </c>
    </row>
    <row r="6" spans="1:32" x14ac:dyDescent="0.25">
      <c r="F6" s="69">
        <v>0.71</v>
      </c>
      <c r="G6" s="65">
        <v>0.8</v>
      </c>
      <c r="H6" s="65">
        <v>2</v>
      </c>
      <c r="I6" s="69">
        <v>0.121</v>
      </c>
      <c r="J6" s="65">
        <v>0.18</v>
      </c>
      <c r="K6" s="70">
        <v>8</v>
      </c>
    </row>
    <row r="7" spans="1:32" x14ac:dyDescent="0.25">
      <c r="F7" s="69">
        <v>0.81</v>
      </c>
      <c r="G7" s="65">
        <v>0.9</v>
      </c>
      <c r="H7" s="65">
        <v>2.5</v>
      </c>
      <c r="I7" s="69">
        <v>0.18099999999999999</v>
      </c>
      <c r="J7" s="65">
        <v>0.2</v>
      </c>
      <c r="K7" s="70">
        <v>9</v>
      </c>
    </row>
    <row r="8" spans="1:32" ht="15.75" thickBot="1" x14ac:dyDescent="0.3">
      <c r="F8" s="69">
        <v>0.91</v>
      </c>
      <c r="G8" s="65">
        <v>1</v>
      </c>
      <c r="H8" s="65">
        <v>3</v>
      </c>
      <c r="I8" s="71">
        <v>0.21</v>
      </c>
      <c r="J8" s="72">
        <v>1</v>
      </c>
      <c r="K8" s="73">
        <v>10</v>
      </c>
    </row>
    <row r="9" spans="1:32" x14ac:dyDescent="0.25">
      <c r="F9" s="69">
        <v>1.01</v>
      </c>
      <c r="G9" s="65">
        <v>1.25</v>
      </c>
      <c r="H9" s="70">
        <v>7</v>
      </c>
    </row>
    <row r="10" spans="1:32" x14ac:dyDescent="0.25">
      <c r="F10" s="69">
        <v>1.26</v>
      </c>
      <c r="G10" s="65">
        <v>1.5</v>
      </c>
      <c r="H10" s="70">
        <v>8</v>
      </c>
    </row>
    <row r="11" spans="1:32" x14ac:dyDescent="0.25">
      <c r="F11" s="69">
        <v>1.51</v>
      </c>
      <c r="G11" s="65">
        <v>1.75</v>
      </c>
      <c r="H11" s="70">
        <v>9</v>
      </c>
    </row>
    <row r="12" spans="1:32" ht="15.75" thickBot="1" x14ac:dyDescent="0.3">
      <c r="F12" s="71">
        <v>1.76</v>
      </c>
      <c r="G12" s="72">
        <v>2</v>
      </c>
      <c r="H12" s="73">
        <v>10</v>
      </c>
    </row>
    <row r="14" spans="1:32" x14ac:dyDescent="0.25">
      <c r="D14" s="89"/>
      <c r="F14" s="90"/>
      <c r="G14" s="89"/>
      <c r="H14" s="90"/>
      <c r="L14" s="89"/>
      <c r="N14" s="90"/>
      <c r="P14" s="89"/>
      <c r="R14" s="90"/>
      <c r="U14" s="89"/>
      <c r="W14" s="90"/>
      <c r="Y14" s="89"/>
      <c r="AA14" s="90"/>
      <c r="AC14" s="89"/>
      <c r="AE14" s="90"/>
    </row>
    <row r="15" spans="1:32" s="63" customFormat="1" ht="60" x14ac:dyDescent="0.25">
      <c r="A15" s="84" t="s">
        <v>145</v>
      </c>
      <c r="B15" s="63" t="s">
        <v>5</v>
      </c>
      <c r="C15" s="63" t="s">
        <v>6</v>
      </c>
      <c r="D15" s="63" t="s">
        <v>251</v>
      </c>
      <c r="E15" s="63" t="s">
        <v>7</v>
      </c>
      <c r="F15" s="63" t="s">
        <v>252</v>
      </c>
      <c r="G15" s="63" t="s">
        <v>239</v>
      </c>
      <c r="H15" s="63" t="s">
        <v>253</v>
      </c>
      <c r="I15" s="63" t="s">
        <v>8</v>
      </c>
      <c r="J15" s="63" t="s">
        <v>9</v>
      </c>
      <c r="K15" s="64" t="s">
        <v>10</v>
      </c>
      <c r="L15" s="64" t="s">
        <v>254</v>
      </c>
      <c r="M15" s="64" t="s">
        <v>142</v>
      </c>
      <c r="N15" s="64" t="s">
        <v>255</v>
      </c>
      <c r="O15" s="64" t="s">
        <v>191</v>
      </c>
      <c r="P15" s="64" t="s">
        <v>256</v>
      </c>
      <c r="Q15" s="64" t="s">
        <v>11</v>
      </c>
      <c r="R15" s="64" t="s">
        <v>257</v>
      </c>
      <c r="S15" s="64" t="s">
        <v>12</v>
      </c>
      <c r="T15" s="64" t="s">
        <v>13</v>
      </c>
      <c r="U15" s="64" t="s">
        <v>258</v>
      </c>
      <c r="V15" s="64" t="s">
        <v>14</v>
      </c>
      <c r="W15" s="64" t="s">
        <v>259</v>
      </c>
      <c r="X15" s="64" t="s">
        <v>15</v>
      </c>
      <c r="Y15" s="64" t="s">
        <v>247</v>
      </c>
      <c r="Z15" s="64" t="s">
        <v>16</v>
      </c>
      <c r="AA15" s="64" t="s">
        <v>248</v>
      </c>
      <c r="AB15" s="64" t="s">
        <v>17</v>
      </c>
      <c r="AC15" s="64" t="s">
        <v>249</v>
      </c>
      <c r="AD15" s="64" t="s">
        <v>141</v>
      </c>
      <c r="AE15" s="64" t="s">
        <v>250</v>
      </c>
      <c r="AF15" s="63" t="s">
        <v>143</v>
      </c>
    </row>
    <row r="16" spans="1:32" x14ac:dyDescent="0.25">
      <c r="A16" t="s">
        <v>215</v>
      </c>
      <c r="B16" t="str">
        <f>'Stratified Scenario Model'!C18</f>
        <v>AR†</v>
      </c>
      <c r="C16" s="20">
        <v>3017804</v>
      </c>
      <c r="D16">
        <f>'Stratified Scenario Model'!E18</f>
        <v>0</v>
      </c>
      <c r="E16">
        <f>'Stratified Scenario Model'!F18</f>
        <v>-26</v>
      </c>
      <c r="F16">
        <f>'Stratified Scenario Model'!G18</f>
        <v>26</v>
      </c>
      <c r="G16">
        <f>'Stratified Scenario Model'!H18</f>
        <v>1.0370651420877299</v>
      </c>
      <c r="H16">
        <f>'Stratified Scenario Model'!I18</f>
        <v>1.0370651420877299</v>
      </c>
      <c r="I16">
        <f>'Stratified Scenario Model'!J18</f>
        <v>0</v>
      </c>
      <c r="J16">
        <f>'Stratified Scenario Model'!K18</f>
        <v>35</v>
      </c>
      <c r="K16">
        <f>'Stratified Scenario Model'!L18</f>
        <v>32.629213483146067</v>
      </c>
      <c r="L16">
        <f>'Stratified Scenario Model'!M18</f>
        <v>5150</v>
      </c>
      <c r="M16">
        <f>'Stratified Scenario Model'!N18</f>
        <v>0</v>
      </c>
      <c r="N16">
        <f>'Stratified Scenario Model'!O18</f>
        <v>5150</v>
      </c>
      <c r="O16">
        <f>'Stratified Scenario Model'!P18</f>
        <v>170.65389269813414</v>
      </c>
      <c r="P16">
        <f>'Stratified Scenario Model'!Q18</f>
        <v>0.12115081512150368</v>
      </c>
      <c r="Q16">
        <f>'Stratified Scenario Model'!R18</f>
        <v>0</v>
      </c>
      <c r="R16">
        <f>'Stratified Scenario Model'!S18</f>
        <v>0.12115081512150368</v>
      </c>
      <c r="S16">
        <f>'Stratified Scenario Model'!T18</f>
        <v>40</v>
      </c>
      <c r="T16">
        <f>'Stratified Scenario Model'!U18</f>
        <v>75</v>
      </c>
      <c r="U16">
        <f>'Stratified Scenario Model'!V18</f>
        <v>67</v>
      </c>
      <c r="V16">
        <f>'Stratified Scenario Model'!W18</f>
        <v>0</v>
      </c>
      <c r="W16">
        <f>'Stratified Scenario Model'!X18</f>
        <v>67</v>
      </c>
      <c r="X16">
        <f>'Stratified Scenario Model'!Y18</f>
        <v>2.2201574389854346</v>
      </c>
      <c r="Y16">
        <f>'Stratified Scenario Model'!Z18</f>
        <v>475</v>
      </c>
      <c r="Z16">
        <f>'Stratified Scenario Model'!AA18</f>
        <v>0</v>
      </c>
      <c r="AA16">
        <f>'Stratified Scenario Model'!AB18</f>
        <v>475</v>
      </c>
      <c r="AB16">
        <f>'Stratified Scenario Model'!AC18</f>
        <v>15.739922142060916</v>
      </c>
      <c r="AC16">
        <f>'Stratified Scenario Model'!AD18</f>
        <v>42509</v>
      </c>
      <c r="AD16">
        <f>'Stratified Scenario Model'!AE18</f>
        <v>0</v>
      </c>
      <c r="AE16">
        <f>'Stratified Scenario Model'!AF18</f>
        <v>42509</v>
      </c>
      <c r="AF16">
        <f>'Stratified Scenario Model'!AG18</f>
        <v>1408.6070533407735</v>
      </c>
    </row>
    <row r="17" spans="1:32" x14ac:dyDescent="0.25">
      <c r="A17" t="s">
        <v>218</v>
      </c>
      <c r="B17" t="str">
        <f>'Stratified Scenario Model'!C19</f>
        <v>AZ*</v>
      </c>
      <c r="C17" s="42">
        <v>7278717</v>
      </c>
      <c r="D17">
        <f>'Stratified Scenario Model'!E19</f>
        <v>0</v>
      </c>
      <c r="E17">
        <f>'Stratified Scenario Model'!F19</f>
        <v>-34</v>
      </c>
      <c r="F17">
        <f>'Stratified Scenario Model'!G19</f>
        <v>34</v>
      </c>
      <c r="G17">
        <f>'Stratified Scenario Model'!H19</f>
        <v>0.9034084188282</v>
      </c>
      <c r="H17">
        <f>'Stratified Scenario Model'!I19</f>
        <v>0.9034084188282</v>
      </c>
      <c r="I17">
        <f>'Stratified Scenario Model'!J19</f>
        <v>0</v>
      </c>
      <c r="J17">
        <f>'Stratified Scenario Model'!K19</f>
        <v>12.5</v>
      </c>
      <c r="K17">
        <f>'Stratified Scenario Model'!L19</f>
        <v>17.109272964736611</v>
      </c>
      <c r="L17">
        <f>'Stratified Scenario Model'!M19</f>
        <v>15670</v>
      </c>
      <c r="M17">
        <f>'Stratified Scenario Model'!N19</f>
        <v>0</v>
      </c>
      <c r="N17">
        <f>'Stratified Scenario Model'!O19</f>
        <v>15670</v>
      </c>
      <c r="O17">
        <f>'Stratified Scenario Model'!P19</f>
        <v>215.28519380544677</v>
      </c>
      <c r="P17">
        <f>'Stratified Scenario Model'!Q19</f>
        <v>0.18202938955683337</v>
      </c>
      <c r="Q17">
        <f>'Stratified Scenario Model'!R19</f>
        <v>0</v>
      </c>
      <c r="R17">
        <f>'Stratified Scenario Model'!S19</f>
        <v>0.18202938955683337</v>
      </c>
      <c r="S17">
        <f>'Stratified Scenario Model'!T19</f>
        <v>45</v>
      </c>
      <c r="T17">
        <f>'Stratified Scenario Model'!U19</f>
        <v>57.5</v>
      </c>
      <c r="U17">
        <f>'Stratified Scenario Model'!V19</f>
        <v>475</v>
      </c>
      <c r="V17">
        <f>'Stratified Scenario Model'!W19</f>
        <v>0</v>
      </c>
      <c r="W17">
        <f>'Stratified Scenario Model'!X19</f>
        <v>475</v>
      </c>
      <c r="X17">
        <f>'Stratified Scenario Model'!Y19</f>
        <v>6.5258753706182011</v>
      </c>
      <c r="Y17">
        <f>'Stratified Scenario Model'!Z19</f>
        <v>3779</v>
      </c>
      <c r="Z17">
        <f>'Stratified Scenario Model'!AA19</f>
        <v>0</v>
      </c>
      <c r="AA17">
        <f>'Stratified Scenario Model'!AB19</f>
        <v>3779</v>
      </c>
      <c r="AB17">
        <f>'Stratified Scenario Model'!AC19</f>
        <v>51.918490580139334</v>
      </c>
      <c r="AC17">
        <f>'Stratified Scenario Model'!AD19</f>
        <v>86085</v>
      </c>
      <c r="AD17">
        <f>'Stratified Scenario Model'!AE19</f>
        <v>0</v>
      </c>
      <c r="AE17">
        <f>'Stratified Scenario Model'!AF19</f>
        <v>86085</v>
      </c>
      <c r="AF17">
        <f>'Stratified Scenario Model'!AG19</f>
        <v>1182.6946974308796</v>
      </c>
    </row>
    <row r="18" spans="1:32" ht="60" x14ac:dyDescent="0.25">
      <c r="A18" s="63" t="s">
        <v>217</v>
      </c>
      <c r="B18" t="str">
        <f>'Stratified Scenario Model'!C20</f>
        <v>CA*</v>
      </c>
      <c r="C18" s="80">
        <v>39512223</v>
      </c>
      <c r="D18">
        <f>'Stratified Scenario Model'!E20</f>
        <v>0</v>
      </c>
      <c r="E18">
        <f>'Stratified Scenario Model'!F20</f>
        <v>-37</v>
      </c>
      <c r="F18">
        <f>'Stratified Scenario Model'!G20</f>
        <v>37</v>
      </c>
      <c r="G18">
        <f>'Stratified Scenario Model'!H20</f>
        <v>0.97008807894890403</v>
      </c>
      <c r="H18">
        <f>'Stratified Scenario Model'!I20</f>
        <v>0.97008807894890403</v>
      </c>
      <c r="I18">
        <f>'Stratified Scenario Model'!J20</f>
        <v>0</v>
      </c>
      <c r="J18">
        <f>'Stratified Scenario Model'!K20</f>
        <v>15</v>
      </c>
      <c r="K18">
        <f>'Stratified Scenario Model'!L20</f>
        <v>18.597674617423269</v>
      </c>
      <c r="L18">
        <f>'Stratified Scenario Model'!M20</f>
        <v>54351</v>
      </c>
      <c r="M18">
        <f>'Stratified Scenario Model'!N20</f>
        <v>0</v>
      </c>
      <c r="N18">
        <f>'Stratified Scenario Model'!O20</f>
        <v>54351</v>
      </c>
      <c r="O18">
        <f>'Stratified Scenario Model'!P20</f>
        <v>137.55490294737402</v>
      </c>
      <c r="P18">
        <f>'Stratified Scenario Model'!Q20</f>
        <v>6.1197948921201915E-2</v>
      </c>
      <c r="Q18">
        <f>'Stratified Scenario Model'!R20</f>
        <v>0</v>
      </c>
      <c r="R18">
        <f>'Stratified Scenario Model'!S20</f>
        <v>6.1197948921201915E-2</v>
      </c>
      <c r="S18">
        <f>'Stratified Scenario Model'!T20</f>
        <v>25</v>
      </c>
      <c r="T18">
        <f>'Stratified Scenario Model'!U20</f>
        <v>40</v>
      </c>
      <c r="U18">
        <f>'Stratified Scenario Model'!V20</f>
        <v>943</v>
      </c>
      <c r="V18">
        <f>'Stratified Scenario Model'!W20</f>
        <v>0</v>
      </c>
      <c r="W18">
        <f>'Stratified Scenario Model'!X20</f>
        <v>943</v>
      </c>
      <c r="X18">
        <f>'Stratified Scenario Model'!Y20</f>
        <v>2.3866032543904199</v>
      </c>
      <c r="Y18">
        <f>'Stratified Scenario Model'!Z20</f>
        <v>9388</v>
      </c>
      <c r="Z18">
        <f>'Stratified Scenario Model'!AA20</f>
        <v>0</v>
      </c>
      <c r="AA18">
        <f>'Stratified Scenario Model'!AB20</f>
        <v>9388</v>
      </c>
      <c r="AB18">
        <f>'Stratified Scenario Model'!AC20</f>
        <v>23.759736322605789</v>
      </c>
      <c r="AC18">
        <f>'Stratified Scenario Model'!AD20</f>
        <v>888118</v>
      </c>
      <c r="AD18">
        <f>'Stratified Scenario Model'!AE20</f>
        <v>0</v>
      </c>
      <c r="AE18">
        <f>'Stratified Scenario Model'!AF20</f>
        <v>888118</v>
      </c>
      <c r="AF18">
        <f>'Stratified Scenario Model'!AG20</f>
        <v>2247.7044635023444</v>
      </c>
    </row>
    <row r="19" spans="1:32" x14ac:dyDescent="0.25">
      <c r="A19" t="s">
        <v>219</v>
      </c>
      <c r="B19" t="str">
        <f>'Stratified Scenario Model'!C21</f>
        <v>CO*</v>
      </c>
      <c r="C19" s="27">
        <v>5758736</v>
      </c>
      <c r="D19">
        <f>'Stratified Scenario Model'!E21</f>
        <v>0</v>
      </c>
      <c r="E19">
        <f>'Stratified Scenario Model'!F21</f>
        <v>-28</v>
      </c>
      <c r="F19">
        <f>'Stratified Scenario Model'!G21</f>
        <v>28</v>
      </c>
      <c r="G19">
        <f>'Stratified Scenario Model'!H21</f>
        <v>1.03777467304077</v>
      </c>
      <c r="H19">
        <f>'Stratified Scenario Model'!I21</f>
        <v>1.03777467304077</v>
      </c>
      <c r="I19">
        <f>'Stratified Scenario Model'!J21</f>
        <v>0</v>
      </c>
      <c r="J19">
        <f>'Stratified Scenario Model'!K21</f>
        <v>35</v>
      </c>
      <c r="K19">
        <f>'Stratified Scenario Model'!L21</f>
        <v>6.604166666666667</v>
      </c>
      <c r="L19">
        <f>'Stratified Scenario Model'!M21</f>
        <v>3380</v>
      </c>
      <c r="M19">
        <f>'Stratified Scenario Model'!N21</f>
        <v>0</v>
      </c>
      <c r="N19">
        <f>'Stratified Scenario Model'!O21</f>
        <v>3380</v>
      </c>
      <c r="O19">
        <f>'Stratified Scenario Model'!P21</f>
        <v>58.693435503902251</v>
      </c>
      <c r="P19">
        <f>'Stratified Scenario Model'!Q21</f>
        <v>6.8387827775979279E-2</v>
      </c>
      <c r="Q19">
        <f>'Stratified Scenario Model'!R21</f>
        <v>0</v>
      </c>
      <c r="R19">
        <f>'Stratified Scenario Model'!S21</f>
        <v>6.8387827775979279E-2</v>
      </c>
      <c r="S19">
        <f>'Stratified Scenario Model'!T21</f>
        <v>25</v>
      </c>
      <c r="T19">
        <f>'Stratified Scenario Model'!U21</f>
        <v>60</v>
      </c>
      <c r="U19">
        <f>'Stratified Scenario Model'!V21</f>
        <v>30</v>
      </c>
      <c r="V19">
        <f>'Stratified Scenario Model'!W21</f>
        <v>0</v>
      </c>
      <c r="W19">
        <f>'Stratified Scenario Model'!X21</f>
        <v>30</v>
      </c>
      <c r="X19">
        <f>'Stratified Scenario Model'!Y21</f>
        <v>0.52094765240149921</v>
      </c>
      <c r="Y19">
        <f>'Stratified Scenario Model'!Z21</f>
        <v>1691</v>
      </c>
      <c r="Z19">
        <f>'Stratified Scenario Model'!AA21</f>
        <v>0</v>
      </c>
      <c r="AA19">
        <f>'Stratified Scenario Model'!AB21</f>
        <v>1691</v>
      </c>
      <c r="AB19">
        <f>'Stratified Scenario Model'!AC21</f>
        <v>29.364082673697837</v>
      </c>
      <c r="AC19">
        <f>'Stratified Scenario Model'!AD21</f>
        <v>49424</v>
      </c>
      <c r="AD19">
        <f>'Stratified Scenario Model'!AE21</f>
        <v>0</v>
      </c>
      <c r="AE19">
        <f>'Stratified Scenario Model'!AF21</f>
        <v>49424</v>
      </c>
      <c r="AF19">
        <f>'Stratified Scenario Model'!AG21</f>
        <v>858.24389240972323</v>
      </c>
    </row>
    <row r="20" spans="1:32" x14ac:dyDescent="0.25">
      <c r="A20" t="s">
        <v>216</v>
      </c>
      <c r="B20" t="str">
        <f>'Stratified Scenario Model'!C22</f>
        <v>CT†</v>
      </c>
      <c r="C20" s="42">
        <v>3565287</v>
      </c>
      <c r="D20">
        <f>'Stratified Scenario Model'!E22</f>
        <v>0</v>
      </c>
      <c r="E20">
        <f>'Stratified Scenario Model'!F22</f>
        <v>-27</v>
      </c>
      <c r="F20">
        <f>'Stratified Scenario Model'!G22</f>
        <v>27</v>
      </c>
      <c r="G20">
        <f>'Stratified Scenario Model'!H22</f>
        <v>1.04903166994224</v>
      </c>
      <c r="H20">
        <f>'Stratified Scenario Model'!I22</f>
        <v>1.04903166994224</v>
      </c>
      <c r="I20">
        <f>'Stratified Scenario Model'!J22</f>
        <v>0</v>
      </c>
      <c r="J20">
        <f>'Stratified Scenario Model'!K22</f>
        <v>35</v>
      </c>
      <c r="K20">
        <f>'Stratified Scenario Model'!L22</f>
        <v>4.6623408423114592</v>
      </c>
      <c r="L20">
        <f>'Stratified Scenario Model'!M22</f>
        <v>1079</v>
      </c>
      <c r="M20">
        <f>'Stratified Scenario Model'!N22</f>
        <v>0</v>
      </c>
      <c r="N20">
        <f>'Stratified Scenario Model'!O22</f>
        <v>1079</v>
      </c>
      <c r="O20">
        <f>'Stratified Scenario Model'!P22</f>
        <v>30.264043259350508</v>
      </c>
      <c r="P20">
        <f>'Stratified Scenario Model'!Q22</f>
        <v>1.2825236833034197E-2</v>
      </c>
      <c r="Q20">
        <f>'Stratified Scenario Model'!R22</f>
        <v>0</v>
      </c>
      <c r="R20">
        <f>'Stratified Scenario Model'!S22</f>
        <v>1.2825236833034197E-2</v>
      </c>
      <c r="S20">
        <f>'Stratified Scenario Model'!T22</f>
        <v>10</v>
      </c>
      <c r="T20">
        <f>'Stratified Scenario Model'!U22</f>
        <v>45</v>
      </c>
      <c r="U20">
        <f>'Stratified Scenario Model'!V22</f>
        <v>19</v>
      </c>
      <c r="V20">
        <f>'Stratified Scenario Model'!W22</f>
        <v>0</v>
      </c>
      <c r="W20">
        <f>'Stratified Scenario Model'!X22</f>
        <v>19</v>
      </c>
      <c r="X20">
        <f>'Stratified Scenario Model'!Y22</f>
        <v>0.53291642440005527</v>
      </c>
      <c r="Y20">
        <f>'Stratified Scenario Model'!Z22</f>
        <v>4437</v>
      </c>
      <c r="Z20">
        <f>'Stratified Scenario Model'!AA22</f>
        <v>0</v>
      </c>
      <c r="AA20">
        <f>'Stratified Scenario Model'!AB22</f>
        <v>4437</v>
      </c>
      <c r="AB20">
        <f>'Stratified Scenario Model'!AC22</f>
        <v>124.45000921384451</v>
      </c>
      <c r="AC20">
        <f>'Stratified Scenario Model'!AD22</f>
        <v>84131</v>
      </c>
      <c r="AD20">
        <f>'Stratified Scenario Model'!AE22</f>
        <v>0</v>
      </c>
      <c r="AE20">
        <f>'Stratified Scenario Model'!AF22</f>
        <v>84131</v>
      </c>
      <c r="AF20">
        <f>'Stratified Scenario Model'!AG22</f>
        <v>2359.7258790105816</v>
      </c>
    </row>
    <row r="21" spans="1:32" x14ac:dyDescent="0.25">
      <c r="A21" t="s">
        <v>220</v>
      </c>
      <c r="B21" t="str">
        <f>'Stratified Scenario Model'!C25</f>
        <v>FL*</v>
      </c>
      <c r="C21" s="41">
        <v>21477737</v>
      </c>
      <c r="D21">
        <f>'Stratified Scenario Model'!E25</f>
        <v>0</v>
      </c>
      <c r="E21">
        <f>'Stratified Scenario Model'!F25</f>
        <v>-34</v>
      </c>
      <c r="F21">
        <f>'Stratified Scenario Model'!G25</f>
        <v>34</v>
      </c>
      <c r="G21">
        <f>'Stratified Scenario Model'!H25</f>
        <v>0.98601935104760796</v>
      </c>
      <c r="H21">
        <f>'Stratified Scenario Model'!I25</f>
        <v>0.98601935104760796</v>
      </c>
      <c r="I21">
        <f>'Stratified Scenario Model'!J25</f>
        <v>0</v>
      </c>
      <c r="J21">
        <f>'Stratified Scenario Model'!K25</f>
        <v>15</v>
      </c>
      <c r="K21">
        <f>'Stratified Scenario Model'!L25</f>
        <v>21.515181004281821</v>
      </c>
      <c r="L21">
        <f>'Stratified Scenario Model'!M25</f>
        <v>59137</v>
      </c>
      <c r="M21">
        <f>'Stratified Scenario Model'!N25</f>
        <v>0</v>
      </c>
      <c r="N21">
        <f>'Stratified Scenario Model'!O25</f>
        <v>59137</v>
      </c>
      <c r="O21">
        <f>'Stratified Scenario Model'!P25</f>
        <v>275.34092628101371</v>
      </c>
      <c r="P21">
        <f>'Stratified Scenario Model'!Q25</f>
        <v>0.18405482709359761</v>
      </c>
      <c r="Q21">
        <f>'Stratified Scenario Model'!R25</f>
        <v>0</v>
      </c>
      <c r="R21">
        <f>'Stratified Scenario Model'!S25</f>
        <v>0.18405482709359761</v>
      </c>
      <c r="S21">
        <f>'Stratified Scenario Model'!T25</f>
        <v>45</v>
      </c>
      <c r="T21">
        <f>'Stratified Scenario Model'!U25</f>
        <v>60</v>
      </c>
      <c r="U21">
        <f>'Stratified Scenario Model'!V25</f>
        <v>1230</v>
      </c>
      <c r="V21">
        <f>'Stratified Scenario Model'!W25</f>
        <v>0</v>
      </c>
      <c r="W21">
        <f>'Stratified Scenario Model'!X25</f>
        <v>1230</v>
      </c>
      <c r="X21">
        <f>'Stratified Scenario Model'!Y25</f>
        <v>5.7268603298382876</v>
      </c>
      <c r="Y21">
        <f>'Stratified Scenario Model'!Z25</f>
        <v>7279</v>
      </c>
      <c r="Z21">
        <f>'Stratified Scenario Model'!AA25</f>
        <v>0</v>
      </c>
      <c r="AA21">
        <f>'Stratified Scenario Model'!AB25</f>
        <v>7279</v>
      </c>
      <c r="AB21">
        <f>'Stratified Scenario Model'!AC25</f>
        <v>33.890907594221872</v>
      </c>
      <c r="AC21">
        <f>'Stratified Scenario Model'!AD25</f>
        <v>321301</v>
      </c>
      <c r="AD21">
        <f>'Stratified Scenario Model'!AE25</f>
        <v>0</v>
      </c>
      <c r="AE21">
        <f>'Stratified Scenario Model'!AF25</f>
        <v>321301</v>
      </c>
      <c r="AF21">
        <f>'Stratified Scenario Model'!AG25</f>
        <v>1495.9723177539609</v>
      </c>
    </row>
    <row r="22" spans="1:32" x14ac:dyDescent="0.25">
      <c r="A22" t="s">
        <v>190</v>
      </c>
      <c r="B22" t="str">
        <f>'Stratified Scenario Model'!C26</f>
        <v>GA</v>
      </c>
      <c r="C22" s="41">
        <v>10617423</v>
      </c>
      <c r="D22">
        <f>'Stratified Scenario Model'!E26</f>
        <v>0</v>
      </c>
      <c r="E22">
        <f>'Stratified Scenario Model'!F26</f>
        <v>-30</v>
      </c>
      <c r="F22">
        <f>'Stratified Scenario Model'!G26</f>
        <v>30</v>
      </c>
      <c r="G22">
        <f>'Stratified Scenario Model'!H26</f>
        <v>0.95378253064743601</v>
      </c>
      <c r="H22">
        <f>'Stratified Scenario Model'!I26</f>
        <v>0.95378253064743601</v>
      </c>
      <c r="I22">
        <f>'Stratified Scenario Model'!J26</f>
        <v>0</v>
      </c>
      <c r="J22">
        <f>'Stratified Scenario Model'!K26</f>
        <v>15</v>
      </c>
      <c r="K22">
        <f>'Stratified Scenario Model'!L26</f>
        <v>12.918054504163512</v>
      </c>
      <c r="L22">
        <f>'Stratified Scenario Model'!M26</f>
        <v>24592</v>
      </c>
      <c r="M22">
        <f>'Stratified Scenario Model'!N26</f>
        <v>0</v>
      </c>
      <c r="N22">
        <f>'Stratified Scenario Model'!O26</f>
        <v>24592</v>
      </c>
      <c r="O22">
        <f>'Stratified Scenario Model'!P26</f>
        <v>231.61929217664209</v>
      </c>
      <c r="P22">
        <f>'Stratified Scenario Model'!Q26</f>
        <v>0.1271311738127979</v>
      </c>
      <c r="Q22">
        <f>'Stratified Scenario Model'!R26</f>
        <v>0</v>
      </c>
      <c r="R22">
        <f>'Stratified Scenario Model'!S26</f>
        <v>0.1271311738127979</v>
      </c>
      <c r="S22">
        <f>'Stratified Scenario Model'!T26</f>
        <v>40</v>
      </c>
      <c r="T22">
        <f>'Stratified Scenario Model'!U26</f>
        <v>55</v>
      </c>
      <c r="U22">
        <f>'Stratified Scenario Model'!V26</f>
        <v>333</v>
      </c>
      <c r="V22">
        <f>'Stratified Scenario Model'!W26</f>
        <v>0</v>
      </c>
      <c r="W22">
        <f>'Stratified Scenario Model'!X26</f>
        <v>333</v>
      </c>
      <c r="X22">
        <f>'Stratified Scenario Model'!Y26</f>
        <v>3.1363542735369969</v>
      </c>
      <c r="Y22">
        <f>'Stratified Scenario Model'!Z26</f>
        <v>3842</v>
      </c>
      <c r="Z22">
        <f>'Stratified Scenario Model'!AA26</f>
        <v>0</v>
      </c>
      <c r="AA22">
        <f>'Stratified Scenario Model'!AB26</f>
        <v>3842</v>
      </c>
      <c r="AB22">
        <f>'Stratified Scenario Model'!AC26</f>
        <v>36.185805161949375</v>
      </c>
      <c r="AC22">
        <f>'Stratified Scenario Model'!AD26</f>
        <v>193438</v>
      </c>
      <c r="AD22">
        <f>'Stratified Scenario Model'!AE26</f>
        <v>0</v>
      </c>
      <c r="AE22">
        <f>'Stratified Scenario Model'!AF26</f>
        <v>193438</v>
      </c>
      <c r="AF22">
        <f>'Stratified Scenario Model'!AG26</f>
        <v>1821.8921860794283</v>
      </c>
    </row>
    <row r="23" spans="1:32" x14ac:dyDescent="0.25">
      <c r="A23" t="s">
        <v>151</v>
      </c>
      <c r="B23" t="str">
        <f>'Stratified Scenario Model'!C28</f>
        <v>IA</v>
      </c>
      <c r="C23" s="27">
        <v>3155070</v>
      </c>
      <c r="D23">
        <f>'Stratified Scenario Model'!E28</f>
        <v>0</v>
      </c>
      <c r="E23">
        <f>'Stratified Scenario Model'!F28</f>
        <v>-25</v>
      </c>
      <c r="F23">
        <f>'Stratified Scenario Model'!G28</f>
        <v>25</v>
      </c>
      <c r="G23">
        <f>'Stratified Scenario Model'!H28</f>
        <v>1.0101617161716401</v>
      </c>
      <c r="H23">
        <f>'Stratified Scenario Model'!I28</f>
        <v>1.0101617161716401</v>
      </c>
      <c r="I23">
        <f>'Stratified Scenario Model'!J28</f>
        <v>0</v>
      </c>
      <c r="J23">
        <f>'Stratified Scenario Model'!K28</f>
        <v>35</v>
      </c>
      <c r="K23">
        <f>'Stratified Scenario Model'!L28</f>
        <v>6.0705160960654059</v>
      </c>
      <c r="L23">
        <f>'Stratified Scenario Model'!M28</f>
        <v>3287</v>
      </c>
      <c r="M23">
        <f>'Stratified Scenario Model'!N28</f>
        <v>0</v>
      </c>
      <c r="N23">
        <f>'Stratified Scenario Model'!O28</f>
        <v>3287</v>
      </c>
      <c r="O23">
        <f>'Stratified Scenario Model'!P28</f>
        <v>104.1815237062886</v>
      </c>
      <c r="P23">
        <f>'Stratified Scenario Model'!Q28</f>
        <v>0.10392032880177048</v>
      </c>
      <c r="Q23">
        <f>'Stratified Scenario Model'!R28</f>
        <v>0</v>
      </c>
      <c r="R23">
        <f>'Stratified Scenario Model'!S28</f>
        <v>0.10392032880177048</v>
      </c>
      <c r="S23">
        <f>'Stratified Scenario Model'!T28</f>
        <v>25</v>
      </c>
      <c r="T23">
        <f>'Stratified Scenario Model'!U28</f>
        <v>60</v>
      </c>
      <c r="U23">
        <f>'Stratified Scenario Model'!V28</f>
        <v>49</v>
      </c>
      <c r="V23">
        <f>'Stratified Scenario Model'!W28</f>
        <v>0</v>
      </c>
      <c r="W23">
        <f>'Stratified Scenario Model'!X28</f>
        <v>49</v>
      </c>
      <c r="X23">
        <f>'Stratified Scenario Model'!Y28</f>
        <v>1.5530558751469854</v>
      </c>
      <c r="Y23">
        <f>'Stratified Scenario Model'!Z28</f>
        <v>882</v>
      </c>
      <c r="Z23">
        <f>'Stratified Scenario Model'!AA28</f>
        <v>0</v>
      </c>
      <c r="AA23">
        <f>'Stratified Scenario Model'!AB28</f>
        <v>882</v>
      </c>
      <c r="AB23">
        <f>'Stratified Scenario Model'!AC28</f>
        <v>27.955005752645743</v>
      </c>
      <c r="AC23">
        <f>'Stratified Scenario Model'!AD28</f>
        <v>31630</v>
      </c>
      <c r="AD23">
        <f>'Stratified Scenario Model'!AE28</f>
        <v>0</v>
      </c>
      <c r="AE23">
        <f>'Stratified Scenario Model'!AF28</f>
        <v>31630</v>
      </c>
      <c r="AF23">
        <f>'Stratified Scenario Model'!AG28</f>
        <v>1002.5134149163093</v>
      </c>
    </row>
    <row r="24" spans="1:32" ht="30" x14ac:dyDescent="0.25">
      <c r="A24" s="63" t="s">
        <v>152</v>
      </c>
      <c r="B24" t="str">
        <f>'Stratified Scenario Model'!C30</f>
        <v>IL</v>
      </c>
      <c r="C24" s="27">
        <v>12671821</v>
      </c>
      <c r="D24">
        <f>'Stratified Scenario Model'!E30</f>
        <v>0</v>
      </c>
      <c r="E24">
        <f>'Stratified Scenario Model'!F30</f>
        <v>-27</v>
      </c>
      <c r="F24">
        <f>'Stratified Scenario Model'!G30</f>
        <v>27</v>
      </c>
      <c r="G24">
        <f>'Stratified Scenario Model'!H30</f>
        <v>1.0928764203221</v>
      </c>
      <c r="H24">
        <f>'Stratified Scenario Model'!I30</f>
        <v>1.0928764203221</v>
      </c>
      <c r="I24">
        <f>'Stratified Scenario Model'!J30</f>
        <v>0</v>
      </c>
      <c r="J24">
        <f>'Stratified Scenario Model'!K30</f>
        <v>35</v>
      </c>
      <c r="K24">
        <f>'Stratified Scenario Model'!L30</f>
        <v>6.0805346700083538</v>
      </c>
      <c r="L24">
        <f>'Stratified Scenario Model'!M30</f>
        <v>10625</v>
      </c>
      <c r="M24">
        <f>'Stratified Scenario Model'!N30</f>
        <v>0</v>
      </c>
      <c r="N24">
        <f>'Stratified Scenario Model'!O30</f>
        <v>10625</v>
      </c>
      <c r="O24">
        <f>'Stratified Scenario Model'!P30</f>
        <v>83.847459650826821</v>
      </c>
      <c r="P24">
        <f>'Stratified Scenario Model'!Q30</f>
        <v>4.013947760122704E-2</v>
      </c>
      <c r="Q24">
        <f>'Stratified Scenario Model'!R30</f>
        <v>0</v>
      </c>
      <c r="R24">
        <f>'Stratified Scenario Model'!S30</f>
        <v>4.013947760122704E-2</v>
      </c>
      <c r="S24">
        <f>'Stratified Scenario Model'!T30</f>
        <v>15</v>
      </c>
      <c r="T24">
        <f>'Stratified Scenario Model'!U30</f>
        <v>50</v>
      </c>
      <c r="U24">
        <f>'Stratified Scenario Model'!V30</f>
        <v>115</v>
      </c>
      <c r="V24">
        <f>'Stratified Scenario Model'!W30</f>
        <v>0</v>
      </c>
      <c r="W24">
        <f>'Stratified Scenario Model'!X30</f>
        <v>115</v>
      </c>
      <c r="X24">
        <f>'Stratified Scenario Model'!Y30</f>
        <v>0.90752544563247861</v>
      </c>
      <c r="Y24">
        <f>'Stratified Scenario Model'!Z30</f>
        <v>7723</v>
      </c>
      <c r="Z24">
        <f>'Stratified Scenario Model'!AA30</f>
        <v>0</v>
      </c>
      <c r="AA24">
        <f>'Stratified Scenario Model'!AB30</f>
        <v>7723</v>
      </c>
      <c r="AB24">
        <f>'Stratified Scenario Model'!AC30</f>
        <v>60.946252318431583</v>
      </c>
      <c r="AC24">
        <f>'Stratified Scenario Model'!AD30</f>
        <v>264702</v>
      </c>
      <c r="AD24">
        <f>'Stratified Scenario Model'!AE30</f>
        <v>0</v>
      </c>
      <c r="AE24">
        <f>'Stratified Scenario Model'!AF30</f>
        <v>264702</v>
      </c>
      <c r="AF24">
        <f>'Stratified Scenario Model'!AG30</f>
        <v>2088.9026131287678</v>
      </c>
    </row>
    <row r="25" spans="1:32" x14ac:dyDescent="0.25">
      <c r="A25" t="s">
        <v>221</v>
      </c>
      <c r="B25" t="str">
        <f>'Stratified Scenario Model'!C31</f>
        <v>IN†</v>
      </c>
      <c r="C25" s="27">
        <v>6732219</v>
      </c>
      <c r="D25">
        <f>'Stratified Scenario Model'!E31</f>
        <v>0</v>
      </c>
      <c r="E25">
        <f>'Stratified Scenario Model'!F31</f>
        <v>-25</v>
      </c>
      <c r="F25">
        <f>'Stratified Scenario Model'!G31</f>
        <v>25</v>
      </c>
      <c r="G25">
        <f>'Stratified Scenario Model'!H31</f>
        <v>1.0015865310325001</v>
      </c>
      <c r="H25">
        <f>'Stratified Scenario Model'!I31</f>
        <v>1.0015865310325001</v>
      </c>
      <c r="I25">
        <f>'Stratified Scenario Model'!J31</f>
        <v>0</v>
      </c>
      <c r="J25">
        <f>'Stratified Scenario Model'!K31</f>
        <v>15</v>
      </c>
      <c r="K25">
        <f>'Stratified Scenario Model'!L31</f>
        <v>6.3804627249357324</v>
      </c>
      <c r="L25">
        <f>'Stratified Scenario Model'!M31</f>
        <v>5526</v>
      </c>
      <c r="M25">
        <f>'Stratified Scenario Model'!N31</f>
        <v>0</v>
      </c>
      <c r="N25">
        <f>'Stratified Scenario Model'!O31</f>
        <v>5526</v>
      </c>
      <c r="O25">
        <f>'Stratified Scenario Model'!P31</f>
        <v>82.08289124284282</v>
      </c>
      <c r="P25">
        <f>'Stratified Scenario Model'!Q31</f>
        <v>8.1635667961767439E-2</v>
      </c>
      <c r="Q25">
        <f>'Stratified Scenario Model'!R31</f>
        <v>0</v>
      </c>
      <c r="R25">
        <f>'Stratified Scenario Model'!S31</f>
        <v>8.1635667961767439E-2</v>
      </c>
      <c r="S25">
        <f>'Stratified Scenario Model'!T31</f>
        <v>25</v>
      </c>
      <c r="T25">
        <f>'Stratified Scenario Model'!U31</f>
        <v>40</v>
      </c>
      <c r="U25">
        <f>'Stratified Scenario Model'!V31</f>
        <v>74</v>
      </c>
      <c r="V25">
        <f>'Stratified Scenario Model'!W31</f>
        <v>0</v>
      </c>
      <c r="W25">
        <f>'Stratified Scenario Model'!X31</f>
        <v>74</v>
      </c>
      <c r="X25">
        <f>'Stratified Scenario Model'!Y31</f>
        <v>1.0991918117934072</v>
      </c>
      <c r="Y25">
        <f>'Stratified Scenario Model'!Z31</f>
        <v>2980</v>
      </c>
      <c r="Z25">
        <f>'Stratified Scenario Model'!AA31</f>
        <v>0</v>
      </c>
      <c r="AA25">
        <f>'Stratified Scenario Model'!AB31</f>
        <v>2980</v>
      </c>
      <c r="AB25">
        <f>'Stratified Scenario Model'!AC31</f>
        <v>44.26475133978856</v>
      </c>
      <c r="AC25">
        <f>'Stratified Scenario Model'!AD31</f>
        <v>67691</v>
      </c>
      <c r="AD25">
        <f>'Stratified Scenario Model'!AE31</f>
        <v>0</v>
      </c>
      <c r="AE25">
        <f>'Stratified Scenario Model'!AF31</f>
        <v>67691</v>
      </c>
      <c r="AF25">
        <f>'Stratified Scenario Model'!AG31</f>
        <v>1005.478282866318</v>
      </c>
    </row>
    <row r="26" spans="1:32" x14ac:dyDescent="0.25">
      <c r="A26" t="s">
        <v>154</v>
      </c>
      <c r="B26" t="str">
        <f>'Stratified Scenario Model'!C32</f>
        <v>KS</v>
      </c>
      <c r="C26" s="27">
        <v>2913314</v>
      </c>
      <c r="D26">
        <f>'Stratified Scenario Model'!E32</f>
        <v>0</v>
      </c>
      <c r="E26">
        <f>'Stratified Scenario Model'!F32</f>
        <v>-27</v>
      </c>
      <c r="F26">
        <f>'Stratified Scenario Model'!G32</f>
        <v>27</v>
      </c>
      <c r="G26">
        <f>'Stratified Scenario Model'!H32</f>
        <v>1.0712011110205899</v>
      </c>
      <c r="H26">
        <f>'Stratified Scenario Model'!I32</f>
        <v>1.0712011110205899</v>
      </c>
      <c r="I26">
        <f>'Stratified Scenario Model'!J32</f>
        <v>0</v>
      </c>
      <c r="J26">
        <f>'Stratified Scenario Model'!K32</f>
        <v>35</v>
      </c>
      <c r="K26">
        <f>'Stratified Scenario Model'!L32</f>
        <v>6.9233997901364113</v>
      </c>
      <c r="L26">
        <f>'Stratified Scenario Model'!M32</f>
        <v>2704</v>
      </c>
      <c r="M26">
        <f>'Stratified Scenario Model'!N32</f>
        <v>0</v>
      </c>
      <c r="N26">
        <f>'Stratified Scenario Model'!O32</f>
        <v>2704</v>
      </c>
      <c r="O26">
        <f>'Stratified Scenario Model'!P32</f>
        <v>92.815261245440766</v>
      </c>
      <c r="P26">
        <f>'Stratified Scenario Model'!Q32</f>
        <v>0.11806313583373357</v>
      </c>
      <c r="Q26">
        <f>'Stratified Scenario Model'!R32</f>
        <v>0</v>
      </c>
      <c r="R26">
        <f>'Stratified Scenario Model'!S32</f>
        <v>0.11806313583373357</v>
      </c>
      <c r="S26">
        <f>'Stratified Scenario Model'!T32</f>
        <v>25</v>
      </c>
      <c r="T26">
        <f>'Stratified Scenario Model'!U32</f>
        <v>60</v>
      </c>
      <c r="U26">
        <f>'Stratified Scenario Model'!V32</f>
        <v>30</v>
      </c>
      <c r="V26">
        <f>'Stratified Scenario Model'!W32</f>
        <v>0</v>
      </c>
      <c r="W26">
        <f>'Stratified Scenario Model'!X32</f>
        <v>30</v>
      </c>
      <c r="X26">
        <f>'Stratified Scenario Model'!Y32</f>
        <v>1.0297551173680557</v>
      </c>
      <c r="Y26">
        <f>'Stratified Scenario Model'!Z32</f>
        <v>365</v>
      </c>
      <c r="Z26">
        <f>'Stratified Scenario Model'!AA32</f>
        <v>0</v>
      </c>
      <c r="AA26">
        <f>'Stratified Scenario Model'!AB32</f>
        <v>365</v>
      </c>
      <c r="AB26">
        <f>'Stratified Scenario Model'!AC32</f>
        <v>12.528687261311344</v>
      </c>
      <c r="AC26">
        <f>'Stratified Scenario Model'!AD32</f>
        <v>22903</v>
      </c>
      <c r="AD26">
        <f>'Stratified Scenario Model'!AE32</f>
        <v>0</v>
      </c>
      <c r="AE26">
        <f>'Stratified Scenario Model'!AF32</f>
        <v>22903</v>
      </c>
      <c r="AF26">
        <f>'Stratified Scenario Model'!AG32</f>
        <v>786.14938176935266</v>
      </c>
    </row>
    <row r="27" spans="1:32" x14ac:dyDescent="0.25">
      <c r="A27" t="s">
        <v>155</v>
      </c>
      <c r="B27" t="str">
        <f>'Stratified Scenario Model'!C35</f>
        <v>MA</v>
      </c>
      <c r="C27" s="80">
        <v>6892503</v>
      </c>
      <c r="D27">
        <f>'Stratified Scenario Model'!E35</f>
        <v>0</v>
      </c>
      <c r="E27">
        <f>'Stratified Scenario Model'!F35</f>
        <v>-30</v>
      </c>
      <c r="F27">
        <f>'Stratified Scenario Model'!G35</f>
        <v>30</v>
      </c>
      <c r="G27">
        <f>'Stratified Scenario Model'!H35</f>
        <v>1.10804877749931</v>
      </c>
      <c r="H27">
        <f>'Stratified Scenario Model'!I35</f>
        <v>1.10804877749931</v>
      </c>
      <c r="I27">
        <f>'Stratified Scenario Model'!J35</f>
        <v>0</v>
      </c>
      <c r="J27">
        <f>'Stratified Scenario Model'!K35</f>
        <v>35</v>
      </c>
      <c r="K27">
        <f>'Stratified Scenario Model'!L35</f>
        <v>6.598211184439041</v>
      </c>
      <c r="L27">
        <f>'Stratified Scenario Model'!M35</f>
        <v>2731</v>
      </c>
      <c r="M27">
        <f>'Stratified Scenario Model'!N35</f>
        <v>0</v>
      </c>
      <c r="N27">
        <f>'Stratified Scenario Model'!O35</f>
        <v>2731</v>
      </c>
      <c r="O27">
        <f>'Stratified Scenario Model'!P35</f>
        <v>39.622761136266462</v>
      </c>
      <c r="P27">
        <f>'Stratified Scenario Model'!Q35</f>
        <v>2.8538586133026803E-2</v>
      </c>
      <c r="Q27">
        <f>'Stratified Scenario Model'!R35</f>
        <v>0</v>
      </c>
      <c r="R27">
        <f>'Stratified Scenario Model'!S35</f>
        <v>2.8538586133026803E-2</v>
      </c>
      <c r="S27">
        <f>'Stratified Scenario Model'!T35</f>
        <v>10</v>
      </c>
      <c r="T27">
        <f>'Stratified Scenario Model'!U35</f>
        <v>45</v>
      </c>
      <c r="U27">
        <f>'Stratified Scenario Model'!V35</f>
        <v>112</v>
      </c>
      <c r="V27">
        <f>'Stratified Scenario Model'!W35</f>
        <v>0</v>
      </c>
      <c r="W27">
        <f>'Stratified Scenario Model'!X35</f>
        <v>112</v>
      </c>
      <c r="X27">
        <f>'Stratified Scenario Model'!Y35</f>
        <v>1.624953953592766</v>
      </c>
      <c r="Y27">
        <f>'Stratified Scenario Model'!Z35</f>
        <v>8648</v>
      </c>
      <c r="Z27">
        <f>'Stratified Scenario Model'!AA35</f>
        <v>0</v>
      </c>
      <c r="AA27">
        <f>'Stratified Scenario Model'!AB35</f>
        <v>8648</v>
      </c>
      <c r="AB27">
        <f>'Stratified Scenario Model'!AC35</f>
        <v>125.46965884527</v>
      </c>
      <c r="AC27">
        <f>'Stratified Scenario Model'!AD35</f>
        <v>95695</v>
      </c>
      <c r="AD27">
        <f>'Stratified Scenario Model'!AE35</f>
        <v>0</v>
      </c>
      <c r="AE27">
        <f>'Stratified Scenario Model'!AF35</f>
        <v>95695</v>
      </c>
      <c r="AF27">
        <f>'Stratified Scenario Model'!AG35</f>
        <v>1388.3925766880334</v>
      </c>
    </row>
    <row r="28" spans="1:32" x14ac:dyDescent="0.25">
      <c r="A28" t="s">
        <v>156</v>
      </c>
      <c r="B28" t="str">
        <f>'Stratified Scenario Model'!C36</f>
        <v>MD</v>
      </c>
      <c r="C28" s="80">
        <v>6045680</v>
      </c>
      <c r="D28">
        <f>'Stratified Scenario Model'!E36</f>
        <v>0</v>
      </c>
      <c r="E28">
        <f>'Stratified Scenario Model'!F36</f>
        <v>-33</v>
      </c>
      <c r="F28">
        <f>'Stratified Scenario Model'!G36</f>
        <v>33</v>
      </c>
      <c r="G28">
        <f>'Stratified Scenario Model'!H36</f>
        <v>1.0476161877500401</v>
      </c>
      <c r="H28">
        <f>'Stratified Scenario Model'!I36</f>
        <v>1.0476161877500401</v>
      </c>
      <c r="I28">
        <f>'Stratified Scenario Model'!J36</f>
        <v>0</v>
      </c>
      <c r="J28">
        <f>'Stratified Scenario Model'!K36</f>
        <v>35</v>
      </c>
      <c r="K28">
        <f>'Stratified Scenario Model'!L36</f>
        <v>4.4865041928721174</v>
      </c>
      <c r="L28">
        <f>'Stratified Scenario Model'!M36</f>
        <v>6268</v>
      </c>
      <c r="M28">
        <f>'Stratified Scenario Model'!N36</f>
        <v>0</v>
      </c>
      <c r="N28">
        <f>'Stratified Scenario Model'!O36</f>
        <v>6268</v>
      </c>
      <c r="O28">
        <f>'Stratified Scenario Model'!P36</f>
        <v>103.67733654444164</v>
      </c>
      <c r="P28">
        <f>'Stratified Scenario Model'!Q36</f>
        <v>5.9627660080480219E-2</v>
      </c>
      <c r="Q28">
        <f>'Stratified Scenario Model'!R36</f>
        <v>0</v>
      </c>
      <c r="R28">
        <f>'Stratified Scenario Model'!S36</f>
        <v>5.9627660080480219E-2</v>
      </c>
      <c r="S28">
        <f>'Stratified Scenario Model'!T36</f>
        <v>15</v>
      </c>
      <c r="T28">
        <f>'Stratified Scenario Model'!U36</f>
        <v>50</v>
      </c>
      <c r="U28">
        <f>'Stratified Scenario Model'!V36</f>
        <v>76</v>
      </c>
      <c r="V28">
        <f>'Stratified Scenario Model'!W36</f>
        <v>0</v>
      </c>
      <c r="W28">
        <f>'Stratified Scenario Model'!X36</f>
        <v>76</v>
      </c>
      <c r="X28">
        <f>'Stratified Scenario Model'!Y36</f>
        <v>1.2570959759696179</v>
      </c>
      <c r="Y28">
        <f>'Stratified Scenario Model'!Z36</f>
        <v>3523</v>
      </c>
      <c r="Z28">
        <f>'Stratified Scenario Model'!AA36</f>
        <v>0</v>
      </c>
      <c r="AA28">
        <f>'Stratified Scenario Model'!AB36</f>
        <v>3523</v>
      </c>
      <c r="AB28">
        <f>'Stratified Scenario Model'!AC36</f>
        <v>58.273014780802164</v>
      </c>
      <c r="AC28">
        <f>'Stratified Scenario Model'!AD36</f>
        <v>105119</v>
      </c>
      <c r="AD28">
        <f>'Stratified Scenario Model'!AE36</f>
        <v>0</v>
      </c>
      <c r="AE28">
        <f>'Stratified Scenario Model'!AF36</f>
        <v>105119</v>
      </c>
      <c r="AF28">
        <f>'Stratified Scenario Model'!AG36</f>
        <v>1738.7456828677666</v>
      </c>
    </row>
    <row r="29" spans="1:32" x14ac:dyDescent="0.25">
      <c r="A29" t="s">
        <v>157</v>
      </c>
      <c r="B29" t="str">
        <f>'Stratified Scenario Model'!C40</f>
        <v>MO</v>
      </c>
      <c r="C29" s="41">
        <v>6137428</v>
      </c>
      <c r="D29">
        <f>'Stratified Scenario Model'!E40</f>
        <v>0</v>
      </c>
      <c r="E29">
        <f>'Stratified Scenario Model'!F40</f>
        <v>-26</v>
      </c>
      <c r="F29">
        <f>'Stratified Scenario Model'!G40</f>
        <v>26</v>
      </c>
      <c r="G29">
        <f>'Stratified Scenario Model'!H40</f>
        <v>1.22029376627693</v>
      </c>
      <c r="H29">
        <f>'Stratified Scenario Model'!I40</f>
        <v>1.22029376627693</v>
      </c>
      <c r="I29">
        <f>'Stratified Scenario Model'!J40</f>
        <v>0</v>
      </c>
      <c r="J29">
        <f>'Stratified Scenario Model'!K40</f>
        <v>35</v>
      </c>
      <c r="K29">
        <f>'Stratified Scenario Model'!L40</f>
        <v>12.892074198988196</v>
      </c>
      <c r="L29">
        <f>'Stratified Scenario Model'!M40</f>
        <v>9837</v>
      </c>
      <c r="M29">
        <f>'Stratified Scenario Model'!N40</f>
        <v>0</v>
      </c>
      <c r="N29">
        <f>'Stratified Scenario Model'!O40</f>
        <v>9837</v>
      </c>
      <c r="O29">
        <f>'Stratified Scenario Model'!P40</f>
        <v>160.27886600054615</v>
      </c>
      <c r="P29">
        <f>'Stratified Scenario Model'!Q40</f>
        <v>0.13846348741624909</v>
      </c>
      <c r="Q29">
        <f>'Stratified Scenario Model'!R40</f>
        <v>0</v>
      </c>
      <c r="R29">
        <f>'Stratified Scenario Model'!S40</f>
        <v>0.13846348741624909</v>
      </c>
      <c r="S29">
        <f>'Stratified Scenario Model'!T40</f>
        <v>40</v>
      </c>
      <c r="T29">
        <f>'Stratified Scenario Model'!U40</f>
        <v>75</v>
      </c>
      <c r="U29">
        <f>'Stratified Scenario Model'!V40</f>
        <v>54</v>
      </c>
      <c r="V29">
        <f>'Stratified Scenario Model'!W40</f>
        <v>0</v>
      </c>
      <c r="W29">
        <f>'Stratified Scenario Model'!X40</f>
        <v>54</v>
      </c>
      <c r="X29">
        <f>'Stratified Scenario Model'!Y40</f>
        <v>0.87984738884105851</v>
      </c>
      <c r="Y29">
        <f>'Stratified Scenario Model'!Z40</f>
        <v>1255</v>
      </c>
      <c r="Z29">
        <f>'Stratified Scenario Model'!AA40</f>
        <v>0</v>
      </c>
      <c r="AA29">
        <f>'Stratified Scenario Model'!AB40</f>
        <v>1255</v>
      </c>
      <c r="AB29">
        <f>'Stratified Scenario Model'!AC40</f>
        <v>20.448305055472748</v>
      </c>
      <c r="AC29">
        <f>'Stratified Scenario Model'!AD40</f>
        <v>71044</v>
      </c>
      <c r="AD29">
        <f>'Stratified Scenario Model'!AE40</f>
        <v>0</v>
      </c>
      <c r="AE29">
        <f>'Stratified Scenario Model'!AF40</f>
        <v>71044</v>
      </c>
      <c r="AF29">
        <f>'Stratified Scenario Model'!AG40</f>
        <v>1157.5532943115586</v>
      </c>
    </row>
    <row r="30" spans="1:32" x14ac:dyDescent="0.25">
      <c r="A30" t="s">
        <v>222</v>
      </c>
      <c r="B30" t="str">
        <f>'Stratified Scenario Model'!C43</f>
        <v>NC†</v>
      </c>
      <c r="C30" s="26">
        <v>10488084</v>
      </c>
      <c r="D30">
        <f>'Stratified Scenario Model'!E43</f>
        <v>0</v>
      </c>
      <c r="E30">
        <f>'Stratified Scenario Model'!F43</f>
        <v>-27</v>
      </c>
      <c r="F30">
        <f>'Stratified Scenario Model'!G43</f>
        <v>27</v>
      </c>
      <c r="G30">
        <f>'Stratified Scenario Model'!H43</f>
        <v>0.95267220510524298</v>
      </c>
      <c r="H30">
        <f>'Stratified Scenario Model'!I43</f>
        <v>0.95267220510524298</v>
      </c>
      <c r="I30">
        <f>'Stratified Scenario Model'!J43</f>
        <v>0</v>
      </c>
      <c r="J30">
        <f>'Stratified Scenario Model'!K43</f>
        <v>15</v>
      </c>
      <c r="K30">
        <f>'Stratified Scenario Model'!L43</f>
        <v>14.990304709141274</v>
      </c>
      <c r="L30">
        <f>'Stratified Scenario Model'!M43</f>
        <v>12194</v>
      </c>
      <c r="M30">
        <f>'Stratified Scenario Model'!N43</f>
        <v>0</v>
      </c>
      <c r="N30">
        <f>'Stratified Scenario Model'!O43</f>
        <v>12194</v>
      </c>
      <c r="O30">
        <f>'Stratified Scenario Model'!P43</f>
        <v>116.26527781432719</v>
      </c>
      <c r="P30">
        <f>'Stratified Scenario Model'!Q43</f>
        <v>6.0386066734675684E-2</v>
      </c>
      <c r="Q30">
        <f>'Stratified Scenario Model'!R43</f>
        <v>0</v>
      </c>
      <c r="R30">
        <f>'Stratified Scenario Model'!S43</f>
        <v>6.0386066734675684E-2</v>
      </c>
      <c r="S30">
        <f>'Stratified Scenario Model'!T43</f>
        <v>15</v>
      </c>
      <c r="T30">
        <f>'Stratified Scenario Model'!U43</f>
        <v>30</v>
      </c>
      <c r="U30">
        <f>'Stratified Scenario Model'!V43</f>
        <v>192</v>
      </c>
      <c r="V30">
        <f>'Stratified Scenario Model'!W43</f>
        <v>0</v>
      </c>
      <c r="W30">
        <f>'Stratified Scenario Model'!X43</f>
        <v>192</v>
      </c>
      <c r="X30">
        <f>'Stratified Scenario Model'!Y43</f>
        <v>1.8306489536124997</v>
      </c>
      <c r="Y30">
        <f>'Stratified Scenario Model'!Z43</f>
        <v>1982</v>
      </c>
      <c r="Z30">
        <f>'Stratified Scenario Model'!AA43</f>
        <v>0</v>
      </c>
      <c r="AA30">
        <f>'Stratified Scenario Model'!AB43</f>
        <v>1982</v>
      </c>
      <c r="AB30">
        <f>'Stratified Scenario Model'!AC43</f>
        <v>18.897636594062366</v>
      </c>
      <c r="AC30">
        <f>'Stratified Scenario Model'!AD43</f>
        <v>201934</v>
      </c>
      <c r="AD30">
        <f>'Stratified Scenario Model'!AE43</f>
        <v>0</v>
      </c>
      <c r="AE30">
        <f>'Stratified Scenario Model'!AF43</f>
        <v>201934</v>
      </c>
      <c r="AF30">
        <f>'Stratified Scenario Model'!AG43</f>
        <v>1925.365967702013</v>
      </c>
    </row>
    <row r="31" spans="1:32" x14ac:dyDescent="0.25">
      <c r="A31" t="s">
        <v>159</v>
      </c>
      <c r="B31" t="str">
        <f>'Stratified Scenario Model'!C50</f>
        <v>NY</v>
      </c>
      <c r="C31" s="21">
        <v>19453561</v>
      </c>
      <c r="D31">
        <f>'Stratified Scenario Model'!E50</f>
        <v>0</v>
      </c>
      <c r="E31">
        <f>'Stratified Scenario Model'!F50</f>
        <v>-39</v>
      </c>
      <c r="F31">
        <f>'Stratified Scenario Model'!G50</f>
        <v>39</v>
      </c>
      <c r="G31">
        <f>'Stratified Scenario Model'!H50</f>
        <v>0.94174576606069504</v>
      </c>
      <c r="H31">
        <f>'Stratified Scenario Model'!I50</f>
        <v>0.94174576606069504</v>
      </c>
      <c r="I31">
        <f>'Stratified Scenario Model'!J50</f>
        <v>0</v>
      </c>
      <c r="J31">
        <f>'Stratified Scenario Model'!K50</f>
        <v>15</v>
      </c>
      <c r="K31">
        <f>'Stratified Scenario Model'!L50</f>
        <v>8.1316320831722297</v>
      </c>
      <c r="L31">
        <f>'Stratified Scenario Model'!M50</f>
        <v>4499</v>
      </c>
      <c r="M31">
        <f>'Stratified Scenario Model'!N50</f>
        <v>0</v>
      </c>
      <c r="N31">
        <f>'Stratified Scenario Model'!O50</f>
        <v>4499</v>
      </c>
      <c r="O31">
        <f>'Stratified Scenario Model'!P50</f>
        <v>23.126871219104821</v>
      </c>
      <c r="P31">
        <f>'Stratified Scenario Model'!Q50</f>
        <v>9.8743484224965705E-3</v>
      </c>
      <c r="Q31">
        <f>'Stratified Scenario Model'!R50</f>
        <v>0</v>
      </c>
      <c r="R31">
        <f>'Stratified Scenario Model'!S50</f>
        <v>9.8743484224965705E-3</v>
      </c>
      <c r="S31">
        <f>'Stratified Scenario Model'!T50</f>
        <v>10</v>
      </c>
      <c r="T31">
        <f>'Stratified Scenario Model'!U50</f>
        <v>25</v>
      </c>
      <c r="U31">
        <f>'Stratified Scenario Model'!V50</f>
        <v>55</v>
      </c>
      <c r="V31">
        <f>'Stratified Scenario Model'!W50</f>
        <v>0</v>
      </c>
      <c r="W31">
        <f>'Stratified Scenario Model'!X50</f>
        <v>55</v>
      </c>
      <c r="X31">
        <f>'Stratified Scenario Model'!Y50</f>
        <v>0.28272458703062131</v>
      </c>
      <c r="Y31">
        <f>'Stratified Scenario Model'!Z50</f>
        <v>25172</v>
      </c>
      <c r="Z31">
        <f>'Stratified Scenario Model'!AA50</f>
        <v>0</v>
      </c>
      <c r="AA31">
        <f>'Stratified Scenario Model'!AB50</f>
        <v>25172</v>
      </c>
      <c r="AB31">
        <f>'Stratified Scenario Model'!AC50</f>
        <v>129.39533281335997</v>
      </c>
      <c r="AC31">
        <f>'Stratified Scenario Model'!AD50</f>
        <v>455625</v>
      </c>
      <c r="AD31">
        <f>'Stratified Scenario Model'!AE50</f>
        <v>0</v>
      </c>
      <c r="AE31">
        <f>'Stratified Scenario Model'!AF50</f>
        <v>455625</v>
      </c>
      <c r="AF31">
        <f>'Stratified Scenario Model'!AG50</f>
        <v>2342.1161811968514</v>
      </c>
    </row>
    <row r="32" spans="1:32" ht="30" x14ac:dyDescent="0.25">
      <c r="A32" s="63" t="s">
        <v>160</v>
      </c>
      <c r="B32" t="str">
        <f>'Stratified Scenario Model'!C51</f>
        <v>OH</v>
      </c>
      <c r="C32" s="26">
        <v>11689100</v>
      </c>
      <c r="D32">
        <f>'Stratified Scenario Model'!E51</f>
        <v>0</v>
      </c>
      <c r="E32">
        <f>'Stratified Scenario Model'!F51</f>
        <v>-26</v>
      </c>
      <c r="F32">
        <f>'Stratified Scenario Model'!G51</f>
        <v>26</v>
      </c>
      <c r="G32">
        <f>'Stratified Scenario Model'!H51</f>
        <v>0.918456294509577</v>
      </c>
      <c r="H32">
        <f>'Stratified Scenario Model'!I51</f>
        <v>0.918456294509577</v>
      </c>
      <c r="I32">
        <f>'Stratified Scenario Model'!J51</f>
        <v>0</v>
      </c>
      <c r="J32">
        <f>'Stratified Scenario Model'!K51</f>
        <v>15</v>
      </c>
      <c r="K32">
        <f>'Stratified Scenario Model'!L51</f>
        <v>10.27509746588694</v>
      </c>
      <c r="L32">
        <f>'Stratified Scenario Model'!M51</f>
        <v>8786</v>
      </c>
      <c r="M32">
        <f>'Stratified Scenario Model'!N51</f>
        <v>0</v>
      </c>
      <c r="N32">
        <f>'Stratified Scenario Model'!O51</f>
        <v>8786</v>
      </c>
      <c r="O32">
        <f>'Stratified Scenario Model'!P51</f>
        <v>75.164041714075509</v>
      </c>
      <c r="P32">
        <f>'Stratified Scenario Model'!Q51</f>
        <v>4.5893076340463315E-2</v>
      </c>
      <c r="Q32">
        <f>'Stratified Scenario Model'!R51</f>
        <v>0</v>
      </c>
      <c r="R32">
        <f>'Stratified Scenario Model'!S51</f>
        <v>4.5893076340463315E-2</v>
      </c>
      <c r="S32">
        <f>'Stratified Scenario Model'!T51</f>
        <v>15</v>
      </c>
      <c r="T32">
        <f>'Stratified Scenario Model'!U51</f>
        <v>30</v>
      </c>
      <c r="U32">
        <f>'Stratified Scenario Model'!V51</f>
        <v>195</v>
      </c>
      <c r="V32">
        <f>'Stratified Scenario Model'!W51</f>
        <v>0</v>
      </c>
      <c r="W32">
        <f>'Stratified Scenario Model'!X51</f>
        <v>195</v>
      </c>
      <c r="X32">
        <f>'Stratified Scenario Model'!Y51</f>
        <v>1.668220821106843</v>
      </c>
      <c r="Y32">
        <f>'Stratified Scenario Model'!Z51</f>
        <v>3539</v>
      </c>
      <c r="Z32">
        <f>'Stratified Scenario Model'!AA51</f>
        <v>0</v>
      </c>
      <c r="AA32">
        <f>'Stratified Scenario Model'!AB51</f>
        <v>3539</v>
      </c>
      <c r="AB32">
        <f>'Stratified Scenario Model'!AC51</f>
        <v>30.276069158446759</v>
      </c>
      <c r="AC32">
        <f>'Stratified Scenario Model'!AD51</f>
        <v>191445</v>
      </c>
      <c r="AD32">
        <f>'Stratified Scenario Model'!AE51</f>
        <v>0</v>
      </c>
      <c r="AE32">
        <f>'Stratified Scenario Model'!AF51</f>
        <v>191445</v>
      </c>
      <c r="AF32">
        <f>'Stratified Scenario Model'!AG51</f>
        <v>1637.8078722912801</v>
      </c>
    </row>
    <row r="33" spans="1:32" ht="45" x14ac:dyDescent="0.25">
      <c r="A33" s="63" t="s">
        <v>161</v>
      </c>
      <c r="B33" t="str">
        <f>'Stratified Scenario Model'!C54</f>
        <v>PA</v>
      </c>
      <c r="C33" s="21">
        <v>12801989</v>
      </c>
      <c r="D33">
        <f>'Stratified Scenario Model'!E54</f>
        <v>0</v>
      </c>
      <c r="E33">
        <f>'Stratified Scenario Model'!F54</f>
        <v>-28</v>
      </c>
      <c r="F33">
        <f>'Stratified Scenario Model'!G54</f>
        <v>28</v>
      </c>
      <c r="G33">
        <f>'Stratified Scenario Model'!H54</f>
        <v>1.00995310027075</v>
      </c>
      <c r="H33">
        <f>'Stratified Scenario Model'!I54</f>
        <v>1.00995310027075</v>
      </c>
      <c r="I33">
        <f>'Stratified Scenario Model'!J54</f>
        <v>0</v>
      </c>
      <c r="J33">
        <f>'Stratified Scenario Model'!K54</f>
        <v>15</v>
      </c>
      <c r="K33">
        <f>'Stratified Scenario Model'!L54</f>
        <v>5.7918064876957498</v>
      </c>
      <c r="L33">
        <f>'Stratified Scenario Model'!M54</f>
        <v>5891</v>
      </c>
      <c r="M33">
        <f>'Stratified Scenario Model'!N54</f>
        <v>0</v>
      </c>
      <c r="N33">
        <f>'Stratified Scenario Model'!O54</f>
        <v>5891</v>
      </c>
      <c r="O33">
        <f>'Stratified Scenario Model'!P54</f>
        <v>46.016287000402826</v>
      </c>
      <c r="P33">
        <f>'Stratified Scenario Model'!Q54</f>
        <v>5.5637933151368044E-2</v>
      </c>
      <c r="Q33">
        <f>'Stratified Scenario Model'!R54</f>
        <v>0</v>
      </c>
      <c r="R33">
        <f>'Stratified Scenario Model'!S54</f>
        <v>5.5637933151368044E-2</v>
      </c>
      <c r="S33">
        <f>'Stratified Scenario Model'!T54</f>
        <v>15</v>
      </c>
      <c r="T33">
        <f>'Stratified Scenario Model'!U54</f>
        <v>30</v>
      </c>
      <c r="U33">
        <f>'Stratified Scenario Model'!V54</f>
        <v>87</v>
      </c>
      <c r="V33">
        <f>'Stratified Scenario Model'!W54</f>
        <v>0</v>
      </c>
      <c r="W33">
        <f>'Stratified Scenario Model'!X54</f>
        <v>87</v>
      </c>
      <c r="X33">
        <f>'Stratified Scenario Model'!Y54</f>
        <v>0.67958189934392232</v>
      </c>
      <c r="Y33">
        <f>'Stratified Scenario Model'!Z54</f>
        <v>7209</v>
      </c>
      <c r="Z33">
        <f>'Stratified Scenario Model'!AA54</f>
        <v>0</v>
      </c>
      <c r="AA33">
        <f>'Stratified Scenario Model'!AB54</f>
        <v>7209</v>
      </c>
      <c r="AB33">
        <f>'Stratified Scenario Model'!AC54</f>
        <v>56.311562211153287</v>
      </c>
      <c r="AC33">
        <f>'Stratified Scenario Model'!AD54</f>
        <v>105881</v>
      </c>
      <c r="AD33">
        <f>'Stratified Scenario Model'!AE54</f>
        <v>0</v>
      </c>
      <c r="AE33">
        <f>'Stratified Scenario Model'!AF54</f>
        <v>105881</v>
      </c>
      <c r="AF33">
        <f>'Stratified Scenario Model'!AG54</f>
        <v>827.06679407395211</v>
      </c>
    </row>
    <row r="34" spans="1:32" ht="30" x14ac:dyDescent="0.25">
      <c r="A34" s="63" t="s">
        <v>162</v>
      </c>
      <c r="B34" t="str">
        <f>'Stratified Scenario Model'!C58</f>
        <v>TN</v>
      </c>
      <c r="C34" s="26">
        <v>6829174</v>
      </c>
      <c r="D34">
        <f>'Stratified Scenario Model'!E58</f>
        <v>0</v>
      </c>
      <c r="E34">
        <f>'Stratified Scenario Model'!F58</f>
        <v>-26</v>
      </c>
      <c r="F34">
        <f>'Stratified Scenario Model'!G58</f>
        <v>26</v>
      </c>
      <c r="G34">
        <f>'Stratified Scenario Model'!H58</f>
        <v>0.98014028144167498</v>
      </c>
      <c r="H34">
        <f>'Stratified Scenario Model'!I58</f>
        <v>0.98014028144167498</v>
      </c>
      <c r="I34">
        <f>'Stratified Scenario Model'!J58</f>
        <v>0</v>
      </c>
      <c r="J34">
        <f>'Stratified Scenario Model'!K58</f>
        <v>15</v>
      </c>
      <c r="K34">
        <f>'Stratified Scenario Model'!L58</f>
        <v>17.465635227610829</v>
      </c>
      <c r="L34">
        <f>'Stratified Scenario Model'!M58</f>
        <v>14147</v>
      </c>
      <c r="M34">
        <f>'Stratified Scenario Model'!N58</f>
        <v>0</v>
      </c>
      <c r="N34">
        <f>'Stratified Scenario Model'!O58</f>
        <v>14147</v>
      </c>
      <c r="O34">
        <f>'Stratified Scenario Model'!P58</f>
        <v>207.15536022365222</v>
      </c>
      <c r="P34">
        <f>'Stratified Scenario Model'!Q58</f>
        <v>8.6748302990538442E-2</v>
      </c>
      <c r="Q34">
        <f>'Stratified Scenario Model'!R58</f>
        <v>0</v>
      </c>
      <c r="R34">
        <f>'Stratified Scenario Model'!S58</f>
        <v>8.6748302990538442E-2</v>
      </c>
      <c r="S34">
        <f>'Stratified Scenario Model'!T58</f>
        <v>25</v>
      </c>
      <c r="T34">
        <f>'Stratified Scenario Model'!U58</f>
        <v>40</v>
      </c>
      <c r="U34">
        <f>'Stratified Scenario Model'!V58</f>
        <v>114</v>
      </c>
      <c r="V34">
        <f>'Stratified Scenario Model'!W58</f>
        <v>0</v>
      </c>
      <c r="W34">
        <f>'Stratified Scenario Model'!X58</f>
        <v>114</v>
      </c>
      <c r="X34">
        <f>'Stratified Scenario Model'!Y58</f>
        <v>1.6693087626702732</v>
      </c>
      <c r="Y34">
        <f>'Stratified Scenario Model'!Z58</f>
        <v>1092</v>
      </c>
      <c r="Z34">
        <f>'Stratified Scenario Model'!AA58</f>
        <v>0</v>
      </c>
      <c r="AA34">
        <f>'Stratified Scenario Model'!AB58</f>
        <v>1092</v>
      </c>
      <c r="AB34">
        <f>'Stratified Scenario Model'!AC58</f>
        <v>15.990220779262616</v>
      </c>
      <c r="AC34">
        <f>'Stratified Scenario Model'!AD58</f>
        <v>163081</v>
      </c>
      <c r="AD34">
        <f>'Stratified Scenario Model'!AE58</f>
        <v>0</v>
      </c>
      <c r="AE34">
        <f>'Stratified Scenario Model'!AF58</f>
        <v>163081</v>
      </c>
      <c r="AF34">
        <f>'Stratified Scenario Model'!AG58</f>
        <v>2388.0047572371122</v>
      </c>
    </row>
    <row r="35" spans="1:32" ht="60" x14ac:dyDescent="0.25">
      <c r="A35" s="63" t="s">
        <v>223</v>
      </c>
      <c r="B35" t="str">
        <f>'Stratified Scenario Model'!C59</f>
        <v>TX*</v>
      </c>
      <c r="C35" s="28">
        <v>28995881</v>
      </c>
      <c r="D35">
        <f>'Stratified Scenario Model'!E59</f>
        <v>0</v>
      </c>
      <c r="E35">
        <f>'Stratified Scenario Model'!F59</f>
        <v>-36</v>
      </c>
      <c r="F35">
        <f>'Stratified Scenario Model'!G59</f>
        <v>36</v>
      </c>
      <c r="G35">
        <f>'Stratified Scenario Model'!H59</f>
        <v>0.93338032441165097</v>
      </c>
      <c r="H35">
        <f>'Stratified Scenario Model'!I59</f>
        <v>0.93338032441165097</v>
      </c>
      <c r="I35">
        <f>'Stratified Scenario Model'!J59</f>
        <v>0</v>
      </c>
      <c r="J35">
        <f>'Stratified Scenario Model'!K59</f>
        <v>15</v>
      </c>
      <c r="K35">
        <f>'Stratified Scenario Model'!L59</f>
        <v>17.097357250445022</v>
      </c>
      <c r="L35">
        <f>'Stratified Scenario Model'!M59</f>
        <v>56091</v>
      </c>
      <c r="M35">
        <f>'Stratified Scenario Model'!N59</f>
        <v>0</v>
      </c>
      <c r="N35">
        <f>'Stratified Scenario Model'!O59</f>
        <v>56091</v>
      </c>
      <c r="O35">
        <f>'Stratified Scenario Model'!P59</f>
        <v>193.44471719966018</v>
      </c>
      <c r="P35">
        <f>'Stratified Scenario Model'!Q59</f>
        <v>0.13825596986965866</v>
      </c>
      <c r="Q35">
        <f>'Stratified Scenario Model'!R59</f>
        <v>0</v>
      </c>
      <c r="R35">
        <f>'Stratified Scenario Model'!S59</f>
        <v>0.13825596986965866</v>
      </c>
      <c r="S35">
        <f>'Stratified Scenario Model'!T59</f>
        <v>40</v>
      </c>
      <c r="T35">
        <f>'Stratified Scenario Model'!U59</f>
        <v>55</v>
      </c>
      <c r="U35">
        <f>'Stratified Scenario Model'!V59</f>
        <v>1303</v>
      </c>
      <c r="V35">
        <f>'Stratified Scenario Model'!W59</f>
        <v>0</v>
      </c>
      <c r="W35">
        <f>'Stratified Scenario Model'!X59</f>
        <v>1303</v>
      </c>
      <c r="X35">
        <f>'Stratified Scenario Model'!Y59</f>
        <v>4.4937417145559397</v>
      </c>
      <c r="Y35">
        <f>'Stratified Scenario Model'!Z59</f>
        <v>7016</v>
      </c>
      <c r="Z35">
        <f>'Stratified Scenario Model'!AA59</f>
        <v>0</v>
      </c>
      <c r="AA35">
        <f>'Stratified Scenario Model'!AB59</f>
        <v>7016</v>
      </c>
      <c r="AB35">
        <f>'Stratified Scenario Model'!AC59</f>
        <v>24.196540191346486</v>
      </c>
      <c r="AC35">
        <f>'Stratified Scenario Model'!AD59</f>
        <v>405704</v>
      </c>
      <c r="AD35">
        <f>'Stratified Scenario Model'!AE59</f>
        <v>0</v>
      </c>
      <c r="AE35">
        <f>'Stratified Scenario Model'!AF59</f>
        <v>405704</v>
      </c>
      <c r="AF35">
        <f>'Stratified Scenario Model'!AG59</f>
        <v>1399.1780418742924</v>
      </c>
    </row>
    <row r="36" spans="1:32" x14ac:dyDescent="0.25">
      <c r="A36" t="s">
        <v>164</v>
      </c>
      <c r="B36" t="str">
        <f>'Stratified Scenario Model'!C60</f>
        <v>UT</v>
      </c>
      <c r="C36" s="26">
        <v>3205958</v>
      </c>
      <c r="D36">
        <f>'Stratified Scenario Model'!E60</f>
        <v>0</v>
      </c>
      <c r="E36">
        <f>'Stratified Scenario Model'!F60</f>
        <v>-28</v>
      </c>
      <c r="F36">
        <f>'Stratified Scenario Model'!G60</f>
        <v>28</v>
      </c>
      <c r="G36">
        <f>'Stratified Scenario Model'!H60</f>
        <v>1.0317502003432399</v>
      </c>
      <c r="H36">
        <f>'Stratified Scenario Model'!I60</f>
        <v>1.0317502003432399</v>
      </c>
      <c r="I36">
        <f>'Stratified Scenario Model'!J60</f>
        <v>0</v>
      </c>
      <c r="J36">
        <f>'Stratified Scenario Model'!K60</f>
        <v>35</v>
      </c>
      <c r="K36">
        <f>'Stratified Scenario Model'!L60</f>
        <v>24.754752851711025</v>
      </c>
      <c r="L36">
        <f>'Stratified Scenario Model'!M60</f>
        <v>3120</v>
      </c>
      <c r="M36">
        <f>'Stratified Scenario Model'!N60</f>
        <v>0</v>
      </c>
      <c r="N36">
        <f>'Stratified Scenario Model'!O60</f>
        <v>3120</v>
      </c>
      <c r="O36">
        <f>'Stratified Scenario Model'!P60</f>
        <v>97.318804550777017</v>
      </c>
      <c r="P36">
        <f>'Stratified Scenario Model'!Q60</f>
        <v>0.10288880094974277</v>
      </c>
      <c r="Q36">
        <f>'Stratified Scenario Model'!R60</f>
        <v>0</v>
      </c>
      <c r="R36">
        <f>'Stratified Scenario Model'!S60</f>
        <v>0.10288880094974277</v>
      </c>
      <c r="S36">
        <f>'Stratified Scenario Model'!T60</f>
        <v>25</v>
      </c>
      <c r="T36">
        <f>'Stratified Scenario Model'!U60</f>
        <v>60</v>
      </c>
      <c r="U36">
        <f>'Stratified Scenario Model'!V60</f>
        <v>33</v>
      </c>
      <c r="V36">
        <f>'Stratified Scenario Model'!W60</f>
        <v>0</v>
      </c>
      <c r="W36">
        <f>'Stratified Scenario Model'!X60</f>
        <v>33</v>
      </c>
      <c r="X36">
        <f>'Stratified Scenario Model'!Y60</f>
        <v>1.02933350967168</v>
      </c>
      <c r="Y36">
        <f>'Stratified Scenario Model'!Z60</f>
        <v>314</v>
      </c>
      <c r="Z36">
        <f>'Stratified Scenario Model'!AA60</f>
        <v>0</v>
      </c>
      <c r="AA36">
        <f>'Stratified Scenario Model'!AB60</f>
        <v>314</v>
      </c>
      <c r="AB36">
        <f>'Stratified Scenario Model'!AC60</f>
        <v>9.7942643041487134</v>
      </c>
      <c r="AC36">
        <f>'Stratified Scenario Model'!AD60</f>
        <v>30324</v>
      </c>
      <c r="AD36">
        <f>'Stratified Scenario Model'!AE60</f>
        <v>0</v>
      </c>
      <c r="AE36">
        <f>'Stratified Scenario Model'!AF60</f>
        <v>30324</v>
      </c>
      <c r="AF36">
        <f>'Stratified Scenario Model'!AG60</f>
        <v>945.86391961466745</v>
      </c>
    </row>
    <row r="37" spans="1:32" x14ac:dyDescent="0.25">
      <c r="A37" t="s">
        <v>165</v>
      </c>
      <c r="B37" t="str">
        <f>'Stratified Scenario Model'!C61</f>
        <v>VA</v>
      </c>
      <c r="C37" s="22">
        <v>8535519</v>
      </c>
      <c r="D37">
        <f>'Stratified Scenario Model'!E61</f>
        <v>0</v>
      </c>
      <c r="E37">
        <f>'Stratified Scenario Model'!F61</f>
        <v>-30</v>
      </c>
      <c r="F37">
        <f>'Stratified Scenario Model'!G61</f>
        <v>30</v>
      </c>
      <c r="G37">
        <f>'Stratified Scenario Model'!H61</f>
        <v>1.02329064255659</v>
      </c>
      <c r="H37">
        <f>'Stratified Scenario Model'!I61</f>
        <v>1.02329064255659</v>
      </c>
      <c r="I37">
        <f>'Stratified Scenario Model'!J61</f>
        <v>0</v>
      </c>
      <c r="J37">
        <f>'Stratified Scenario Model'!K61</f>
        <v>35</v>
      </c>
      <c r="K37">
        <f>'Stratified Scenario Model'!L61</f>
        <v>5.5281271837875607</v>
      </c>
      <c r="L37">
        <f>'Stratified Scenario Model'!M61</f>
        <v>7034</v>
      </c>
      <c r="M37">
        <f>'Stratified Scenario Model'!N61</f>
        <v>0</v>
      </c>
      <c r="N37">
        <f>'Stratified Scenario Model'!O61</f>
        <v>7034</v>
      </c>
      <c r="O37">
        <f>'Stratified Scenario Model'!P61</f>
        <v>82.40857995864107</v>
      </c>
      <c r="P37">
        <f>'Stratified Scenario Model'!Q61</f>
        <v>6.0691821186053131E-2</v>
      </c>
      <c r="Q37">
        <f>'Stratified Scenario Model'!R61</f>
        <v>0</v>
      </c>
      <c r="R37">
        <f>'Stratified Scenario Model'!S61</f>
        <v>6.0691821186053131E-2</v>
      </c>
      <c r="S37">
        <f>'Stratified Scenario Model'!T61</f>
        <v>15</v>
      </c>
      <c r="T37">
        <f>'Stratified Scenario Model'!U61</f>
        <v>50</v>
      </c>
      <c r="U37">
        <f>'Stratified Scenario Model'!V61</f>
        <v>136</v>
      </c>
      <c r="V37">
        <f>'Stratified Scenario Model'!W61</f>
        <v>0</v>
      </c>
      <c r="W37">
        <f>'Stratified Scenario Model'!X61</f>
        <v>136</v>
      </c>
      <c r="X37">
        <f>'Stratified Scenario Model'!Y61</f>
        <v>1.5933418928597078</v>
      </c>
      <c r="Y37">
        <f>'Stratified Scenario Model'!Z61</f>
        <v>2218</v>
      </c>
      <c r="Z37">
        <f>'Stratified Scenario Model'!AA61</f>
        <v>0</v>
      </c>
      <c r="AA37">
        <f>'Stratified Scenario Model'!AB61</f>
        <v>2218</v>
      </c>
      <c r="AB37">
        <f>'Stratified Scenario Model'!AC61</f>
        <v>25.985531752667882</v>
      </c>
      <c r="AC37">
        <f>'Stratified Scenario Model'!AD61</f>
        <v>115897</v>
      </c>
      <c r="AD37">
        <f>'Stratified Scenario Model'!AE61</f>
        <v>0</v>
      </c>
      <c r="AE37">
        <f>'Stratified Scenario Model'!AF61</f>
        <v>115897</v>
      </c>
      <c r="AF37">
        <f>'Stratified Scenario Model'!AG61</f>
        <v>1357.820186446776</v>
      </c>
    </row>
    <row r="38" spans="1:32" x14ac:dyDescent="0.25">
      <c r="A38" t="s">
        <v>225</v>
      </c>
      <c r="B38" t="str">
        <f>'Stratified Scenario Model'!C63</f>
        <v>WA†</v>
      </c>
      <c r="C38" s="26">
        <v>7614893</v>
      </c>
      <c r="D38">
        <f>'Stratified Scenario Model'!E63</f>
        <v>0</v>
      </c>
      <c r="E38">
        <f>'Stratified Scenario Model'!F63</f>
        <v>-30</v>
      </c>
      <c r="F38">
        <f>'Stratified Scenario Model'!G63</f>
        <v>30</v>
      </c>
      <c r="G38">
        <f>'Stratified Scenario Model'!H63</f>
        <v>1.0123604741529799</v>
      </c>
      <c r="H38">
        <f>'Stratified Scenario Model'!I63</f>
        <v>1.0123604741529799</v>
      </c>
      <c r="I38">
        <f>'Stratified Scenario Model'!J63</f>
        <v>0</v>
      </c>
      <c r="J38">
        <f>'Stratified Scenario Model'!K63</f>
        <v>35</v>
      </c>
      <c r="K38">
        <f>'Stratified Scenario Model'!L63</f>
        <v>20.170572207084469</v>
      </c>
      <c r="L38">
        <f>'Stratified Scenario Model'!M63</f>
        <v>5538</v>
      </c>
      <c r="M38">
        <f>'Stratified Scenario Model'!N63</f>
        <v>0</v>
      </c>
      <c r="N38">
        <f>'Stratified Scenario Model'!O63</f>
        <v>5538</v>
      </c>
      <c r="O38">
        <f>'Stratified Scenario Model'!P63</f>
        <v>72.725906982540664</v>
      </c>
      <c r="P38">
        <f>'Stratified Scenario Model'!Q63</f>
        <v>6.227159771963163E-2</v>
      </c>
      <c r="Q38">
        <f>'Stratified Scenario Model'!R63</f>
        <v>0</v>
      </c>
      <c r="R38">
        <f>'Stratified Scenario Model'!S63</f>
        <v>6.227159771963163E-2</v>
      </c>
      <c r="S38">
        <f>'Stratified Scenario Model'!T63</f>
        <v>25</v>
      </c>
      <c r="T38">
        <f>'Stratified Scenario Model'!U63</f>
        <v>60</v>
      </c>
      <c r="U38">
        <f>'Stratified Scenario Model'!V63</f>
        <v>95</v>
      </c>
      <c r="V38">
        <f>'Stratified Scenario Model'!W63</f>
        <v>0</v>
      </c>
      <c r="W38">
        <f>'Stratified Scenario Model'!X63</f>
        <v>95</v>
      </c>
      <c r="X38">
        <f>'Stratified Scenario Model'!Y63</f>
        <v>1.2475552840991988</v>
      </c>
      <c r="Y38">
        <f>'Stratified Scenario Model'!Z63</f>
        <v>57</v>
      </c>
      <c r="Z38">
        <f>'Stratified Scenario Model'!AA63</f>
        <v>0</v>
      </c>
      <c r="AA38">
        <f>'Stratified Scenario Model'!AB63</f>
        <v>57</v>
      </c>
      <c r="AB38">
        <f>'Stratified Scenario Model'!AC63</f>
        <v>0.74853317045951917</v>
      </c>
      <c r="AC38">
        <f>'Stratified Scenario Model'!AD63</f>
        <v>88933</v>
      </c>
      <c r="AD38">
        <f>'Stratified Scenario Model'!AE63</f>
        <v>0</v>
      </c>
      <c r="AE38">
        <f>'Stratified Scenario Model'!AF63</f>
        <v>88933</v>
      </c>
      <c r="AF38">
        <f>'Stratified Scenario Model'!AG63</f>
        <v>1167.8824640083585</v>
      </c>
    </row>
    <row r="39" spans="1:32" x14ac:dyDescent="0.25">
      <c r="A39" t="s">
        <v>167</v>
      </c>
      <c r="B39" t="str">
        <f>'Stratified Scenario Model'!C64</f>
        <v>WI</v>
      </c>
      <c r="C39" s="26">
        <v>5822434</v>
      </c>
      <c r="D39">
        <f>'Stratified Scenario Model'!E64</f>
        <v>0</v>
      </c>
      <c r="E39">
        <f>'Stratified Scenario Model'!F64</f>
        <v>-26</v>
      </c>
      <c r="F39">
        <f>'Stratified Scenario Model'!G64</f>
        <v>26</v>
      </c>
      <c r="G39">
        <f>'Stratified Scenario Model'!H64</f>
        <v>0.98550338885058697</v>
      </c>
      <c r="H39">
        <f>'Stratified Scenario Model'!I64</f>
        <v>0.98550338885058697</v>
      </c>
      <c r="I39">
        <f>'Stratified Scenario Model'!J64</f>
        <v>0</v>
      </c>
      <c r="J39">
        <f>'Stratified Scenario Model'!K64</f>
        <v>15</v>
      </c>
      <c r="K39">
        <f>'Stratified Scenario Model'!L64</f>
        <v>11.013130029648455</v>
      </c>
      <c r="L39">
        <f>'Stratified Scenario Model'!M64</f>
        <v>6120</v>
      </c>
      <c r="M39">
        <f>'Stratified Scenario Model'!N64</f>
        <v>0</v>
      </c>
      <c r="N39">
        <f>'Stratified Scenario Model'!O64</f>
        <v>6120</v>
      </c>
      <c r="O39">
        <f>'Stratified Scenario Model'!P64</f>
        <v>105.11068051608657</v>
      </c>
      <c r="P39">
        <f>'Stratified Scenario Model'!Q64</f>
        <v>6.5349706353443671E-2</v>
      </c>
      <c r="Q39">
        <f>'Stratified Scenario Model'!R64</f>
        <v>0</v>
      </c>
      <c r="R39">
        <f>'Stratified Scenario Model'!S64</f>
        <v>6.5349706353443671E-2</v>
      </c>
      <c r="S39">
        <f>'Stratified Scenario Model'!T64</f>
        <v>25</v>
      </c>
      <c r="T39">
        <f>'Stratified Scenario Model'!U64</f>
        <v>40</v>
      </c>
      <c r="U39">
        <f>'Stratified Scenario Model'!V64</f>
        <v>56</v>
      </c>
      <c r="V39">
        <f>'Stratified Scenario Model'!W64</f>
        <v>0</v>
      </c>
      <c r="W39">
        <f>'Stratified Scenario Model'!X64</f>
        <v>56</v>
      </c>
      <c r="X39">
        <f>'Stratified Scenario Model'!Y64</f>
        <v>0.96179707661778568</v>
      </c>
      <c r="Y39">
        <f>'Stratified Scenario Model'!Z64</f>
        <v>1596</v>
      </c>
      <c r="Z39">
        <f>'Stratified Scenario Model'!AA64</f>
        <v>0</v>
      </c>
      <c r="AA39">
        <f>'Stratified Scenario Model'!AB64</f>
        <v>1596</v>
      </c>
      <c r="AB39">
        <f>'Stratified Scenario Model'!AC64</f>
        <v>27.411216683606892</v>
      </c>
      <c r="AC39">
        <f>'Stratified Scenario Model'!AD64</f>
        <v>93650</v>
      </c>
      <c r="AD39">
        <f>'Stratified Scenario Model'!AE64</f>
        <v>0</v>
      </c>
      <c r="AE39">
        <f>'Stratified Scenario Model'!AF64</f>
        <v>93650</v>
      </c>
      <c r="AF39">
        <f>'Stratified Scenario Model'!AG64</f>
        <v>1608.433861165279</v>
      </c>
    </row>
    <row r="42" spans="1:32" x14ac:dyDescent="0.25">
      <c r="D42" s="83">
        <f>AVERAGE(D16:D39)</f>
        <v>0</v>
      </c>
    </row>
  </sheetData>
  <phoneticPr fontId="26"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4AB9F-E363-4ECA-AD15-3E49D0E439A5}">
  <sheetPr codeName="Sheet9">
    <tabColor rgb="FF0070C0"/>
  </sheetPr>
  <dimension ref="A1:AF40"/>
  <sheetViews>
    <sheetView zoomScale="91" zoomScaleNormal="91" workbookViewId="0">
      <pane xSplit="2" topLeftCell="C1" activePane="topRight" state="frozen"/>
      <selection activeCell="A13" sqref="A13"/>
      <selection pane="topRight" activeCell="D16" sqref="D16:D37"/>
    </sheetView>
  </sheetViews>
  <sheetFormatPr defaultRowHeight="15" x14ac:dyDescent="0.25"/>
  <cols>
    <col min="1" max="1" width="23.5703125" customWidth="1"/>
    <col min="3" max="5" width="17.5703125" customWidth="1"/>
    <col min="6" max="6" width="17.7109375" customWidth="1"/>
    <col min="7" max="7" width="17.28515625" customWidth="1"/>
    <col min="8" max="8" width="15.140625" customWidth="1"/>
    <col min="9" max="9" width="22.28515625" bestFit="1" customWidth="1"/>
    <col min="10" max="10" width="22.28515625" customWidth="1"/>
    <col min="11" max="11" width="21" customWidth="1"/>
    <col min="12" max="12" width="19.140625" customWidth="1"/>
    <col min="13" max="14" width="15.28515625" customWidth="1"/>
    <col min="15" max="15" width="24.28515625" customWidth="1"/>
    <col min="16" max="16" width="21.140625" customWidth="1"/>
    <col min="17" max="17" width="14.28515625" bestFit="1" customWidth="1"/>
    <col min="18" max="18" width="12" bestFit="1" customWidth="1"/>
    <col min="19" max="19" width="19.7109375" customWidth="1"/>
    <col min="21" max="21" width="15.7109375" customWidth="1"/>
    <col min="22" max="22" width="10.85546875" bestFit="1" customWidth="1"/>
    <col min="23" max="23" width="13.140625" customWidth="1"/>
    <col min="24" max="24" width="12" customWidth="1"/>
    <col min="25" max="25" width="14.7109375" customWidth="1"/>
    <col min="26" max="26" width="10.42578125" customWidth="1"/>
    <col min="27" max="27" width="13.85546875" customWidth="1"/>
    <col min="28" max="28" width="10.85546875" customWidth="1"/>
    <col min="29" max="29" width="15.42578125" customWidth="1"/>
    <col min="30" max="30" width="15.28515625" customWidth="1"/>
    <col min="31" max="31" width="16.42578125" customWidth="1"/>
  </cols>
  <sheetData>
    <row r="1" spans="1:32" x14ac:dyDescent="0.25">
      <c r="F1" s="66" t="s">
        <v>0</v>
      </c>
      <c r="G1" s="67"/>
      <c r="H1" s="67"/>
      <c r="I1" s="66" t="s">
        <v>1</v>
      </c>
      <c r="J1" s="67"/>
      <c r="K1" s="68"/>
    </row>
    <row r="2" spans="1:32" x14ac:dyDescent="0.25">
      <c r="F2" s="69" t="s">
        <v>2</v>
      </c>
      <c r="G2" s="65" t="s">
        <v>3</v>
      </c>
      <c r="H2" s="65" t="s">
        <v>4</v>
      </c>
      <c r="I2" s="69" t="s">
        <v>2</v>
      </c>
      <c r="J2" s="65" t="s">
        <v>3</v>
      </c>
      <c r="K2" s="70" t="s">
        <v>4</v>
      </c>
    </row>
    <row r="3" spans="1:32" x14ac:dyDescent="0.25">
      <c r="F3" s="69">
        <v>0</v>
      </c>
      <c r="G3" s="65">
        <v>0.25</v>
      </c>
      <c r="H3" s="65">
        <v>0.5</v>
      </c>
      <c r="I3" s="69">
        <v>0</v>
      </c>
      <c r="J3" s="65">
        <v>0.03</v>
      </c>
      <c r="K3" s="70">
        <v>2</v>
      </c>
    </row>
    <row r="4" spans="1:32" x14ac:dyDescent="0.25">
      <c r="F4" s="69">
        <v>0.26</v>
      </c>
      <c r="G4" s="65">
        <v>0.5</v>
      </c>
      <c r="H4" s="65">
        <v>1</v>
      </c>
      <c r="I4" s="69">
        <v>3.1E-2</v>
      </c>
      <c r="J4" s="65">
        <v>0.06</v>
      </c>
      <c r="K4" s="70">
        <v>3</v>
      </c>
    </row>
    <row r="5" spans="1:32" x14ac:dyDescent="0.25">
      <c r="F5" s="69">
        <v>0.61</v>
      </c>
      <c r="G5" s="65">
        <v>0.7</v>
      </c>
      <c r="H5" s="65">
        <v>1.5</v>
      </c>
      <c r="I5" s="69">
        <v>6.0999999999999999E-2</v>
      </c>
      <c r="J5" s="65">
        <v>0.12</v>
      </c>
      <c r="K5" s="70">
        <v>5</v>
      </c>
    </row>
    <row r="6" spans="1:32" x14ac:dyDescent="0.25">
      <c r="F6" s="69">
        <v>0.71</v>
      </c>
      <c r="G6" s="65">
        <v>0.8</v>
      </c>
      <c r="H6" s="65">
        <v>2</v>
      </c>
      <c r="I6" s="69">
        <v>0.121</v>
      </c>
      <c r="J6" s="65">
        <v>0.18</v>
      </c>
      <c r="K6" s="70">
        <v>8</v>
      </c>
    </row>
    <row r="7" spans="1:32" x14ac:dyDescent="0.25">
      <c r="F7" s="69">
        <v>0.81</v>
      </c>
      <c r="G7" s="65">
        <v>0.9</v>
      </c>
      <c r="H7" s="65">
        <v>2.5</v>
      </c>
      <c r="I7" s="69">
        <v>0.18099999999999999</v>
      </c>
      <c r="J7" s="65">
        <v>0.2</v>
      </c>
      <c r="K7" s="70">
        <v>9</v>
      </c>
    </row>
    <row r="8" spans="1:32" ht="15.75" thickBot="1" x14ac:dyDescent="0.3">
      <c r="F8" s="69">
        <v>0.91</v>
      </c>
      <c r="G8" s="65">
        <v>1</v>
      </c>
      <c r="H8" s="65">
        <v>3</v>
      </c>
      <c r="I8" s="71">
        <v>0.21</v>
      </c>
      <c r="J8" s="72">
        <v>1</v>
      </c>
      <c r="K8" s="73">
        <v>10</v>
      </c>
    </row>
    <row r="9" spans="1:32" x14ac:dyDescent="0.25">
      <c r="F9" s="69">
        <v>1.01</v>
      </c>
      <c r="G9" s="65">
        <v>1.25</v>
      </c>
      <c r="H9" s="70">
        <v>7</v>
      </c>
    </row>
    <row r="10" spans="1:32" x14ac:dyDescent="0.25">
      <c r="F10" s="69">
        <v>1.26</v>
      </c>
      <c r="G10" s="65">
        <v>1.5</v>
      </c>
      <c r="H10" s="70">
        <v>8</v>
      </c>
    </row>
    <row r="11" spans="1:32" x14ac:dyDescent="0.25">
      <c r="F11" s="69">
        <v>1.51</v>
      </c>
      <c r="G11" s="65">
        <v>1.75</v>
      </c>
      <c r="H11" s="70">
        <v>9</v>
      </c>
    </row>
    <row r="12" spans="1:32" ht="15.75" thickBot="1" x14ac:dyDescent="0.3">
      <c r="F12" s="71">
        <v>1.76</v>
      </c>
      <c r="G12" s="72">
        <v>2</v>
      </c>
      <c r="H12" s="73">
        <v>10</v>
      </c>
    </row>
    <row r="14" spans="1:32" x14ac:dyDescent="0.25">
      <c r="D14" s="89"/>
      <c r="F14" s="90"/>
      <c r="G14" s="89"/>
      <c r="H14" s="90"/>
      <c r="L14" s="89"/>
      <c r="M14" s="89"/>
      <c r="N14" s="90"/>
      <c r="P14" s="89"/>
      <c r="R14" s="90"/>
      <c r="U14" s="89"/>
      <c r="W14" s="90"/>
      <c r="Y14" s="89"/>
      <c r="AA14" s="90"/>
      <c r="AC14" s="89"/>
      <c r="AE14" s="90"/>
    </row>
    <row r="15" spans="1:32" s="63" customFormat="1" ht="60" x14ac:dyDescent="0.25">
      <c r="A15" s="85" t="s">
        <v>144</v>
      </c>
      <c r="B15" s="63" t="s">
        <v>5</v>
      </c>
      <c r="C15" s="63" t="s">
        <v>6</v>
      </c>
      <c r="D15" s="63" t="s">
        <v>251</v>
      </c>
      <c r="E15" s="63" t="s">
        <v>7</v>
      </c>
      <c r="F15" s="63" t="s">
        <v>252</v>
      </c>
      <c r="G15" s="63" t="s">
        <v>239</v>
      </c>
      <c r="H15" s="63" t="s">
        <v>240</v>
      </c>
      <c r="I15" s="63" t="s">
        <v>8</v>
      </c>
      <c r="J15" s="63" t="s">
        <v>9</v>
      </c>
      <c r="K15" s="64" t="s">
        <v>10</v>
      </c>
      <c r="L15" s="64" t="s">
        <v>254</v>
      </c>
      <c r="M15" s="64" t="s">
        <v>142</v>
      </c>
      <c r="N15" s="64" t="s">
        <v>242</v>
      </c>
      <c r="O15" s="64" t="s">
        <v>191</v>
      </c>
      <c r="P15" s="64" t="s">
        <v>256</v>
      </c>
      <c r="Q15" s="64" t="s">
        <v>11</v>
      </c>
      <c r="R15" s="64" t="s">
        <v>257</v>
      </c>
      <c r="S15" s="64" t="s">
        <v>12</v>
      </c>
      <c r="T15" s="64" t="s">
        <v>13</v>
      </c>
      <c r="U15" s="64" t="s">
        <v>258</v>
      </c>
      <c r="V15" s="64" t="s">
        <v>14</v>
      </c>
      <c r="W15" s="64" t="s">
        <v>259</v>
      </c>
      <c r="X15" s="64" t="s">
        <v>15</v>
      </c>
      <c r="Y15" s="64" t="s">
        <v>247</v>
      </c>
      <c r="Z15" s="64" t="s">
        <v>16</v>
      </c>
      <c r="AA15" s="64" t="s">
        <v>248</v>
      </c>
      <c r="AB15" s="64" t="s">
        <v>17</v>
      </c>
      <c r="AC15" s="64" t="s">
        <v>249</v>
      </c>
      <c r="AD15" s="64" t="s">
        <v>141</v>
      </c>
      <c r="AE15" s="64" t="s">
        <v>250</v>
      </c>
      <c r="AF15" s="63" t="s">
        <v>143</v>
      </c>
    </row>
    <row r="16" spans="1:32" x14ac:dyDescent="0.25">
      <c r="A16" t="s">
        <v>226</v>
      </c>
      <c r="B16" s="36" t="s">
        <v>207</v>
      </c>
      <c r="C16" s="41">
        <v>4903185</v>
      </c>
      <c r="D16" s="99">
        <f>'Stratified Scenario Model'!E17</f>
        <v>0</v>
      </c>
      <c r="E16" s="99">
        <f>'Stratified Scenario Model'!F17</f>
        <v>-29</v>
      </c>
      <c r="F16" s="99">
        <f>'Stratified Scenario Model'!G17</f>
        <v>29</v>
      </c>
      <c r="G16" s="99">
        <f>'Stratified Scenario Model'!H17</f>
        <v>1.11194417762822</v>
      </c>
      <c r="H16" s="99">
        <f>'Stratified Scenario Model'!I17</f>
        <v>1.11194417762822</v>
      </c>
      <c r="I16" s="99">
        <f>'Stratified Scenario Model'!J17</f>
        <v>0</v>
      </c>
      <c r="J16" s="99">
        <f>'Stratified Scenario Model'!K17</f>
        <v>35</v>
      </c>
      <c r="K16" s="99">
        <f>'Stratified Scenario Model'!L17</f>
        <v>14.889302820649281</v>
      </c>
      <c r="L16" s="99">
        <f>'Stratified Scenario Model'!M17</f>
        <v>11546</v>
      </c>
      <c r="M16" s="99">
        <f>'Stratified Scenario Model'!N17</f>
        <v>0</v>
      </c>
      <c r="N16" s="99">
        <f>'Stratified Scenario Model'!O17</f>
        <v>11546</v>
      </c>
      <c r="O16" s="99">
        <f>'Stratified Scenario Model'!P17</f>
        <v>235.47959132686202</v>
      </c>
      <c r="P16" s="99">
        <f>'Stratified Scenario Model'!Q17</f>
        <v>0.20584040504884832</v>
      </c>
      <c r="Q16" s="99">
        <f>'Stratified Scenario Model'!R17</f>
        <v>0</v>
      </c>
      <c r="R16" s="99">
        <f>'Stratified Scenario Model'!S17</f>
        <v>0.20584040504884832</v>
      </c>
      <c r="S16" s="99">
        <f>'Stratified Scenario Model'!T17</f>
        <v>45</v>
      </c>
      <c r="T16" s="99">
        <f>'Stratified Scenario Model'!U17</f>
        <v>80</v>
      </c>
      <c r="U16" s="99">
        <f>'Stratified Scenario Model'!V17</f>
        <v>142</v>
      </c>
      <c r="V16" s="99">
        <f>'Stratified Scenario Model'!W17</f>
        <v>0</v>
      </c>
      <c r="W16" s="99">
        <f>'Stratified Scenario Model'!X17</f>
        <v>142</v>
      </c>
      <c r="X16" s="99">
        <f>'Stratified Scenario Model'!Y17</f>
        <v>2.8960767337965017</v>
      </c>
      <c r="Y16" s="99">
        <f>'Stratified Scenario Model'!Z17</f>
        <v>1633</v>
      </c>
      <c r="Z16" s="99">
        <f>'Stratified Scenario Model'!AA17</f>
        <v>0</v>
      </c>
      <c r="AA16" s="99">
        <f>'Stratified Scenario Model'!AB17</f>
        <v>1633</v>
      </c>
      <c r="AB16" s="99">
        <f>'Stratified Scenario Model'!AC17</f>
        <v>33.304882438659767</v>
      </c>
      <c r="AC16" s="99">
        <f>'Stratified Scenario Model'!AD17</f>
        <v>56092</v>
      </c>
      <c r="AD16" s="99">
        <f>'Stratified Scenario Model'!AE17</f>
        <v>0</v>
      </c>
      <c r="AE16" s="99">
        <f>'Stratified Scenario Model'!AF17</f>
        <v>56092</v>
      </c>
      <c r="AF16" s="99">
        <f>'Stratified Scenario Model'!AG17</f>
        <v>1143.9910996627702</v>
      </c>
    </row>
    <row r="17" spans="1:32" x14ac:dyDescent="0.25">
      <c r="A17" t="s">
        <v>227</v>
      </c>
      <c r="B17" s="25" t="s">
        <v>206</v>
      </c>
      <c r="C17" s="28">
        <v>3017804</v>
      </c>
      <c r="D17" s="99">
        <f>'Stratified Scenario Model'!E18</f>
        <v>0</v>
      </c>
      <c r="E17" s="99">
        <f>'Stratified Scenario Model'!F18</f>
        <v>-26</v>
      </c>
      <c r="F17" s="99">
        <f>'Stratified Scenario Model'!G18</f>
        <v>26</v>
      </c>
      <c r="G17" s="99">
        <f>'Stratified Scenario Model'!H18</f>
        <v>1.0370651420877299</v>
      </c>
      <c r="H17" s="99">
        <f>'Stratified Scenario Model'!I18</f>
        <v>1.0370651420877299</v>
      </c>
      <c r="I17" s="99">
        <f>'Stratified Scenario Model'!J18</f>
        <v>0</v>
      </c>
      <c r="J17" s="99">
        <f>'Stratified Scenario Model'!K18</f>
        <v>35</v>
      </c>
      <c r="K17" s="99">
        <f>'Stratified Scenario Model'!L18</f>
        <v>32.629213483146067</v>
      </c>
      <c r="L17" s="99">
        <f>'Stratified Scenario Model'!M18</f>
        <v>5150</v>
      </c>
      <c r="M17" s="99">
        <f>'Stratified Scenario Model'!N18</f>
        <v>0</v>
      </c>
      <c r="N17" s="99">
        <f>'Stratified Scenario Model'!O18</f>
        <v>5150</v>
      </c>
      <c r="O17" s="99">
        <f>'Stratified Scenario Model'!P18</f>
        <v>170.65389269813414</v>
      </c>
      <c r="P17" s="99">
        <f>'Stratified Scenario Model'!Q18</f>
        <v>0.12115081512150368</v>
      </c>
      <c r="Q17" s="99">
        <f>'Stratified Scenario Model'!R18</f>
        <v>0</v>
      </c>
      <c r="R17" s="99">
        <f>'Stratified Scenario Model'!S18</f>
        <v>0.12115081512150368</v>
      </c>
      <c r="S17" s="99">
        <f>'Stratified Scenario Model'!T18</f>
        <v>40</v>
      </c>
      <c r="T17" s="99">
        <f>'Stratified Scenario Model'!U18</f>
        <v>75</v>
      </c>
      <c r="U17" s="99">
        <f>'Stratified Scenario Model'!V18</f>
        <v>67</v>
      </c>
      <c r="V17" s="99">
        <f>'Stratified Scenario Model'!W18</f>
        <v>0</v>
      </c>
      <c r="W17" s="99">
        <f>'Stratified Scenario Model'!X18</f>
        <v>67</v>
      </c>
      <c r="X17" s="99">
        <f>'Stratified Scenario Model'!Y18</f>
        <v>2.2201574389854346</v>
      </c>
      <c r="Y17" s="99">
        <f>'Stratified Scenario Model'!Z18</f>
        <v>475</v>
      </c>
      <c r="Z17" s="99">
        <f>'Stratified Scenario Model'!AA18</f>
        <v>0</v>
      </c>
      <c r="AA17" s="99">
        <f>'Stratified Scenario Model'!AB18</f>
        <v>475</v>
      </c>
      <c r="AB17" s="99">
        <f>'Stratified Scenario Model'!AC18</f>
        <v>15.739922142060916</v>
      </c>
      <c r="AC17" s="99">
        <f>'Stratified Scenario Model'!AD18</f>
        <v>42509</v>
      </c>
      <c r="AD17" s="99">
        <f>'Stratified Scenario Model'!AE18</f>
        <v>0</v>
      </c>
      <c r="AE17" s="99">
        <f>'Stratified Scenario Model'!AF18</f>
        <v>42509</v>
      </c>
      <c r="AF17" s="99">
        <f>'Stratified Scenario Model'!AG18</f>
        <v>1408.6070533407735</v>
      </c>
    </row>
    <row r="18" spans="1:32" ht="60" x14ac:dyDescent="0.25">
      <c r="A18" s="63" t="s">
        <v>228</v>
      </c>
      <c r="B18" s="60" t="s">
        <v>193</v>
      </c>
      <c r="C18" s="61">
        <v>39512223</v>
      </c>
      <c r="D18" s="99">
        <f>'Stratified Scenario Model'!E20</f>
        <v>0</v>
      </c>
      <c r="E18" s="99">
        <f>'Stratified Scenario Model'!F20</f>
        <v>-37</v>
      </c>
      <c r="F18" s="99">
        <f>'Stratified Scenario Model'!G20</f>
        <v>37</v>
      </c>
      <c r="G18" s="99">
        <f>'Stratified Scenario Model'!H20</f>
        <v>0.97008807894890403</v>
      </c>
      <c r="H18" s="99">
        <f>'Stratified Scenario Model'!I20</f>
        <v>0.97008807894890403</v>
      </c>
      <c r="I18" s="99">
        <f>'Stratified Scenario Model'!J20</f>
        <v>0</v>
      </c>
      <c r="J18" s="99">
        <f>'Stratified Scenario Model'!K20</f>
        <v>15</v>
      </c>
      <c r="K18" s="99">
        <f>'Stratified Scenario Model'!L20</f>
        <v>18.597674617423269</v>
      </c>
      <c r="L18" s="99">
        <f>'Stratified Scenario Model'!M20</f>
        <v>54351</v>
      </c>
      <c r="M18" s="99">
        <f>'Stratified Scenario Model'!N20</f>
        <v>0</v>
      </c>
      <c r="N18" s="99">
        <f>'Stratified Scenario Model'!O20</f>
        <v>54351</v>
      </c>
      <c r="O18" s="99">
        <f>'Stratified Scenario Model'!P20</f>
        <v>137.55490294737402</v>
      </c>
      <c r="P18" s="99">
        <f>'Stratified Scenario Model'!Q20</f>
        <v>6.1197948921201915E-2</v>
      </c>
      <c r="Q18" s="99">
        <f>'Stratified Scenario Model'!R20</f>
        <v>0</v>
      </c>
      <c r="R18" s="99">
        <f>'Stratified Scenario Model'!S20</f>
        <v>6.1197948921201915E-2</v>
      </c>
      <c r="S18" s="99">
        <f>'Stratified Scenario Model'!T20</f>
        <v>25</v>
      </c>
      <c r="T18" s="99">
        <f>'Stratified Scenario Model'!U20</f>
        <v>40</v>
      </c>
      <c r="U18" s="99">
        <f>'Stratified Scenario Model'!V20</f>
        <v>943</v>
      </c>
      <c r="V18" s="99">
        <f>'Stratified Scenario Model'!W20</f>
        <v>0</v>
      </c>
      <c r="W18" s="99">
        <f>'Stratified Scenario Model'!X20</f>
        <v>943</v>
      </c>
      <c r="X18" s="99">
        <f>'Stratified Scenario Model'!Y20</f>
        <v>2.3866032543904199</v>
      </c>
      <c r="Y18" s="99">
        <f>'Stratified Scenario Model'!Z20</f>
        <v>9388</v>
      </c>
      <c r="Z18" s="99">
        <f>'Stratified Scenario Model'!AA20</f>
        <v>0</v>
      </c>
      <c r="AA18" s="99">
        <f>'Stratified Scenario Model'!AB20</f>
        <v>9388</v>
      </c>
      <c r="AB18" s="99">
        <f>'Stratified Scenario Model'!AC20</f>
        <v>23.759736322605789</v>
      </c>
      <c r="AC18" s="99">
        <f>'Stratified Scenario Model'!AD20</f>
        <v>888118</v>
      </c>
      <c r="AD18" s="99">
        <f>'Stratified Scenario Model'!AE20</f>
        <v>0</v>
      </c>
      <c r="AE18" s="99">
        <f>'Stratified Scenario Model'!AF20</f>
        <v>888118</v>
      </c>
      <c r="AF18" s="99">
        <f>'Stratified Scenario Model'!AG20</f>
        <v>2247.7044635023444</v>
      </c>
    </row>
    <row r="19" spans="1:32" ht="30" x14ac:dyDescent="0.25">
      <c r="A19" s="63" t="s">
        <v>229</v>
      </c>
      <c r="B19" s="36" t="s">
        <v>194</v>
      </c>
      <c r="C19" s="41">
        <v>21477737</v>
      </c>
      <c r="D19" s="99">
        <f>'Stratified Scenario Model'!E25</f>
        <v>0</v>
      </c>
      <c r="E19" s="99">
        <f>'Stratified Scenario Model'!F25</f>
        <v>-34</v>
      </c>
      <c r="F19" s="99">
        <f>'Stratified Scenario Model'!G25</f>
        <v>34</v>
      </c>
      <c r="G19" s="99">
        <f>'Stratified Scenario Model'!H25</f>
        <v>0.98601935104760796</v>
      </c>
      <c r="H19" s="99">
        <f>'Stratified Scenario Model'!I25</f>
        <v>0.98601935104760796</v>
      </c>
      <c r="I19" s="99">
        <f>'Stratified Scenario Model'!J25</f>
        <v>0</v>
      </c>
      <c r="J19" s="99">
        <f>'Stratified Scenario Model'!K25</f>
        <v>15</v>
      </c>
      <c r="K19" s="99">
        <f>'Stratified Scenario Model'!L25</f>
        <v>21.515181004281821</v>
      </c>
      <c r="L19" s="99">
        <f>'Stratified Scenario Model'!M25</f>
        <v>59137</v>
      </c>
      <c r="M19" s="99">
        <f>'Stratified Scenario Model'!N25</f>
        <v>0</v>
      </c>
      <c r="N19" s="99">
        <f>'Stratified Scenario Model'!O25</f>
        <v>59137</v>
      </c>
      <c r="O19" s="99">
        <f>'Stratified Scenario Model'!P25</f>
        <v>275.34092628101371</v>
      </c>
      <c r="P19" s="99">
        <f>'Stratified Scenario Model'!Q25</f>
        <v>0.18405482709359761</v>
      </c>
      <c r="Q19" s="99">
        <f>'Stratified Scenario Model'!R25</f>
        <v>0</v>
      </c>
      <c r="R19" s="99">
        <f>'Stratified Scenario Model'!S25</f>
        <v>0.18405482709359761</v>
      </c>
      <c r="S19" s="99">
        <f>'Stratified Scenario Model'!T25</f>
        <v>45</v>
      </c>
      <c r="T19" s="99">
        <f>'Stratified Scenario Model'!U25</f>
        <v>60</v>
      </c>
      <c r="U19" s="99">
        <f>'Stratified Scenario Model'!V25</f>
        <v>1230</v>
      </c>
      <c r="V19" s="99">
        <f>'Stratified Scenario Model'!W25</f>
        <v>0</v>
      </c>
      <c r="W19" s="99">
        <f>'Stratified Scenario Model'!X25</f>
        <v>1230</v>
      </c>
      <c r="X19" s="99">
        <f>'Stratified Scenario Model'!Y25</f>
        <v>5.7268603298382876</v>
      </c>
      <c r="Y19" s="99">
        <f>'Stratified Scenario Model'!Z25</f>
        <v>7279</v>
      </c>
      <c r="Z19" s="99">
        <f>'Stratified Scenario Model'!AA25</f>
        <v>0</v>
      </c>
      <c r="AA19" s="99">
        <f>'Stratified Scenario Model'!AB25</f>
        <v>7279</v>
      </c>
      <c r="AB19" s="99">
        <f>'Stratified Scenario Model'!AC25</f>
        <v>33.890907594221872</v>
      </c>
      <c r="AC19" s="99">
        <f>'Stratified Scenario Model'!AD25</f>
        <v>321301</v>
      </c>
      <c r="AD19" s="99">
        <f>'Stratified Scenario Model'!AE25</f>
        <v>0</v>
      </c>
      <c r="AE19" s="99">
        <f>'Stratified Scenario Model'!AF25</f>
        <v>321301</v>
      </c>
      <c r="AF19" s="99">
        <f>'Stratified Scenario Model'!AG25</f>
        <v>1495.9723177539609</v>
      </c>
    </row>
    <row r="20" spans="1:32" ht="60" x14ac:dyDescent="0.25">
      <c r="A20" s="63" t="s">
        <v>172</v>
      </c>
      <c r="B20" s="36" t="s">
        <v>45</v>
      </c>
      <c r="C20" s="41">
        <v>10617423</v>
      </c>
      <c r="D20" s="99">
        <f>'Stratified Scenario Model'!E26</f>
        <v>0</v>
      </c>
      <c r="E20" s="99">
        <f>'Stratified Scenario Model'!F26</f>
        <v>-30</v>
      </c>
      <c r="F20" s="99">
        <f>'Stratified Scenario Model'!G26</f>
        <v>30</v>
      </c>
      <c r="G20" s="99">
        <f>'Stratified Scenario Model'!H26</f>
        <v>0.95378253064743601</v>
      </c>
      <c r="H20" s="99">
        <f>'Stratified Scenario Model'!I26</f>
        <v>0.95378253064743601</v>
      </c>
      <c r="I20" s="99">
        <f>'Stratified Scenario Model'!J26</f>
        <v>0</v>
      </c>
      <c r="J20" s="99">
        <f>'Stratified Scenario Model'!K26</f>
        <v>15</v>
      </c>
      <c r="K20" s="99">
        <f>'Stratified Scenario Model'!L26</f>
        <v>12.918054504163512</v>
      </c>
      <c r="L20" s="99">
        <f>'Stratified Scenario Model'!M26</f>
        <v>24592</v>
      </c>
      <c r="M20" s="99">
        <f>'Stratified Scenario Model'!N26</f>
        <v>0</v>
      </c>
      <c r="N20" s="99">
        <f>'Stratified Scenario Model'!O26</f>
        <v>24592</v>
      </c>
      <c r="O20" s="99">
        <f>'Stratified Scenario Model'!P26</f>
        <v>231.61929217664209</v>
      </c>
      <c r="P20" s="99">
        <f>'Stratified Scenario Model'!Q26</f>
        <v>0.1271311738127979</v>
      </c>
      <c r="Q20" s="99">
        <f>'Stratified Scenario Model'!R26</f>
        <v>0</v>
      </c>
      <c r="R20" s="99">
        <f>'Stratified Scenario Model'!S26</f>
        <v>0.1271311738127979</v>
      </c>
      <c r="S20" s="99">
        <f>'Stratified Scenario Model'!T26</f>
        <v>40</v>
      </c>
      <c r="T20" s="99">
        <f>'Stratified Scenario Model'!U26</f>
        <v>55</v>
      </c>
      <c r="U20" s="99">
        <f>'Stratified Scenario Model'!V26</f>
        <v>333</v>
      </c>
      <c r="V20" s="99">
        <f>'Stratified Scenario Model'!W26</f>
        <v>0</v>
      </c>
      <c r="W20" s="99">
        <f>'Stratified Scenario Model'!X26</f>
        <v>333</v>
      </c>
      <c r="X20" s="99">
        <f>'Stratified Scenario Model'!Y26</f>
        <v>3.1363542735369969</v>
      </c>
      <c r="Y20" s="99">
        <f>'Stratified Scenario Model'!Z26</f>
        <v>3842</v>
      </c>
      <c r="Z20" s="99">
        <f>'Stratified Scenario Model'!AA26</f>
        <v>0</v>
      </c>
      <c r="AA20" s="99">
        <f>'Stratified Scenario Model'!AB26</f>
        <v>3842</v>
      </c>
      <c r="AB20" s="99">
        <f>'Stratified Scenario Model'!AC26</f>
        <v>36.185805161949375</v>
      </c>
      <c r="AC20" s="99">
        <f>'Stratified Scenario Model'!AD26</f>
        <v>193438</v>
      </c>
      <c r="AD20" s="99">
        <f>'Stratified Scenario Model'!AE26</f>
        <v>0</v>
      </c>
      <c r="AE20" s="99">
        <f>'Stratified Scenario Model'!AF26</f>
        <v>193438</v>
      </c>
      <c r="AF20" s="99">
        <f>'Stratified Scenario Model'!AG26</f>
        <v>1821.8921860794283</v>
      </c>
    </row>
    <row r="21" spans="1:32" ht="30" x14ac:dyDescent="0.25">
      <c r="A21" s="63" t="s">
        <v>173</v>
      </c>
      <c r="B21" s="24" t="s">
        <v>46</v>
      </c>
      <c r="C21" s="27">
        <v>3155070</v>
      </c>
      <c r="D21" s="99">
        <f>'Stratified Scenario Model'!E28</f>
        <v>0</v>
      </c>
      <c r="E21" s="99">
        <f>'Stratified Scenario Model'!F28</f>
        <v>-25</v>
      </c>
      <c r="F21" s="99">
        <f>'Stratified Scenario Model'!G28</f>
        <v>25</v>
      </c>
      <c r="G21" s="99">
        <f>'Stratified Scenario Model'!H28</f>
        <v>1.0101617161716401</v>
      </c>
      <c r="H21" s="99">
        <f>'Stratified Scenario Model'!I28</f>
        <v>1.0101617161716401</v>
      </c>
      <c r="I21" s="99">
        <f>'Stratified Scenario Model'!J28</f>
        <v>0</v>
      </c>
      <c r="J21" s="99">
        <f>'Stratified Scenario Model'!K28</f>
        <v>35</v>
      </c>
      <c r="K21" s="99">
        <f>'Stratified Scenario Model'!L28</f>
        <v>6.0705160960654059</v>
      </c>
      <c r="L21" s="99">
        <f>'Stratified Scenario Model'!M28</f>
        <v>3287</v>
      </c>
      <c r="M21" s="99">
        <f>'Stratified Scenario Model'!N28</f>
        <v>0</v>
      </c>
      <c r="N21" s="99">
        <f>'Stratified Scenario Model'!O28</f>
        <v>3287</v>
      </c>
      <c r="O21" s="99">
        <f>'Stratified Scenario Model'!P28</f>
        <v>104.1815237062886</v>
      </c>
      <c r="P21" s="99">
        <f>'Stratified Scenario Model'!Q28</f>
        <v>0.10392032880177048</v>
      </c>
      <c r="Q21" s="99">
        <f>'Stratified Scenario Model'!R28</f>
        <v>0</v>
      </c>
      <c r="R21" s="99">
        <f>'Stratified Scenario Model'!S28</f>
        <v>0.10392032880177048</v>
      </c>
      <c r="S21" s="99">
        <f>'Stratified Scenario Model'!T28</f>
        <v>25</v>
      </c>
      <c r="T21" s="99">
        <f>'Stratified Scenario Model'!U28</f>
        <v>60</v>
      </c>
      <c r="U21" s="99">
        <f>'Stratified Scenario Model'!V28</f>
        <v>49</v>
      </c>
      <c r="V21" s="99">
        <f>'Stratified Scenario Model'!W28</f>
        <v>0</v>
      </c>
      <c r="W21" s="99">
        <f>'Stratified Scenario Model'!X28</f>
        <v>49</v>
      </c>
      <c r="X21" s="99">
        <f>'Stratified Scenario Model'!Y28</f>
        <v>1.5530558751469854</v>
      </c>
      <c r="Y21" s="99">
        <f>'Stratified Scenario Model'!Z28</f>
        <v>882</v>
      </c>
      <c r="Z21" s="99">
        <f>'Stratified Scenario Model'!AA28</f>
        <v>0</v>
      </c>
      <c r="AA21" s="99">
        <f>'Stratified Scenario Model'!AB28</f>
        <v>882</v>
      </c>
      <c r="AB21" s="99">
        <f>'Stratified Scenario Model'!AC28</f>
        <v>27.955005752645743</v>
      </c>
      <c r="AC21" s="99">
        <f>'Stratified Scenario Model'!AD28</f>
        <v>31630</v>
      </c>
      <c r="AD21" s="99">
        <f>'Stratified Scenario Model'!AE28</f>
        <v>0</v>
      </c>
      <c r="AE21" s="99">
        <f>'Stratified Scenario Model'!AF28</f>
        <v>31630</v>
      </c>
      <c r="AF21" s="99">
        <f>'Stratified Scenario Model'!AG28</f>
        <v>1002.5134149163093</v>
      </c>
    </row>
    <row r="22" spans="1:32" ht="75" x14ac:dyDescent="0.25">
      <c r="A22" s="63" t="s">
        <v>174</v>
      </c>
      <c r="B22" s="24" t="s">
        <v>48</v>
      </c>
      <c r="C22" s="27">
        <v>12671821</v>
      </c>
      <c r="D22" s="99">
        <f>'Stratified Scenario Model'!E30</f>
        <v>0</v>
      </c>
      <c r="E22" s="99">
        <f>'Stratified Scenario Model'!F30</f>
        <v>-27</v>
      </c>
      <c r="F22" s="99">
        <f>'Stratified Scenario Model'!G30</f>
        <v>27</v>
      </c>
      <c r="G22" s="99">
        <f>'Stratified Scenario Model'!H30</f>
        <v>1.0928764203221</v>
      </c>
      <c r="H22" s="99">
        <f>'Stratified Scenario Model'!I30</f>
        <v>1.0928764203221</v>
      </c>
      <c r="I22" s="99">
        <f>'Stratified Scenario Model'!J30</f>
        <v>0</v>
      </c>
      <c r="J22" s="99">
        <f>'Stratified Scenario Model'!K30</f>
        <v>35</v>
      </c>
      <c r="K22" s="99">
        <f>'Stratified Scenario Model'!L30</f>
        <v>6.0805346700083538</v>
      </c>
      <c r="L22" s="99">
        <f>'Stratified Scenario Model'!M30</f>
        <v>10625</v>
      </c>
      <c r="M22" s="99">
        <f>'Stratified Scenario Model'!N30</f>
        <v>0</v>
      </c>
      <c r="N22" s="99">
        <f>'Stratified Scenario Model'!O30</f>
        <v>10625</v>
      </c>
      <c r="O22" s="99">
        <f>'Stratified Scenario Model'!P30</f>
        <v>83.847459650826821</v>
      </c>
      <c r="P22" s="99">
        <f>'Stratified Scenario Model'!Q30</f>
        <v>4.013947760122704E-2</v>
      </c>
      <c r="Q22" s="99">
        <f>'Stratified Scenario Model'!R30</f>
        <v>0</v>
      </c>
      <c r="R22" s="99">
        <f>'Stratified Scenario Model'!S30</f>
        <v>4.013947760122704E-2</v>
      </c>
      <c r="S22" s="99">
        <f>'Stratified Scenario Model'!T30</f>
        <v>15</v>
      </c>
      <c r="T22" s="99">
        <f>'Stratified Scenario Model'!U30</f>
        <v>50</v>
      </c>
      <c r="U22" s="99">
        <f>'Stratified Scenario Model'!V30</f>
        <v>115</v>
      </c>
      <c r="V22" s="99">
        <f>'Stratified Scenario Model'!W30</f>
        <v>0</v>
      </c>
      <c r="W22" s="99">
        <f>'Stratified Scenario Model'!X30</f>
        <v>115</v>
      </c>
      <c r="X22" s="99">
        <f>'Stratified Scenario Model'!Y30</f>
        <v>0.90752544563247861</v>
      </c>
      <c r="Y22" s="99">
        <f>'Stratified Scenario Model'!Z30</f>
        <v>7723</v>
      </c>
      <c r="Z22" s="99">
        <f>'Stratified Scenario Model'!AA30</f>
        <v>0</v>
      </c>
      <c r="AA22" s="99">
        <f>'Stratified Scenario Model'!AB30</f>
        <v>7723</v>
      </c>
      <c r="AB22" s="99">
        <f>'Stratified Scenario Model'!AC30</f>
        <v>60.946252318431583</v>
      </c>
      <c r="AC22" s="99">
        <f>'Stratified Scenario Model'!AD30</f>
        <v>264702</v>
      </c>
      <c r="AD22" s="99">
        <f>'Stratified Scenario Model'!AE30</f>
        <v>0</v>
      </c>
      <c r="AE22" s="99">
        <f>'Stratified Scenario Model'!AF30</f>
        <v>264702</v>
      </c>
      <c r="AF22" s="99">
        <f>'Stratified Scenario Model'!AG30</f>
        <v>2088.9026131287678</v>
      </c>
    </row>
    <row r="23" spans="1:32" ht="30" x14ac:dyDescent="0.25">
      <c r="A23" s="63" t="s">
        <v>230</v>
      </c>
      <c r="B23" s="24" t="s">
        <v>211</v>
      </c>
      <c r="C23" s="27">
        <v>6732219</v>
      </c>
      <c r="D23" s="99">
        <f>'Stratified Scenario Model'!E31</f>
        <v>0</v>
      </c>
      <c r="E23" s="99">
        <f>'Stratified Scenario Model'!F31</f>
        <v>-25</v>
      </c>
      <c r="F23" s="99">
        <f>'Stratified Scenario Model'!G31</f>
        <v>25</v>
      </c>
      <c r="G23" s="99">
        <f>'Stratified Scenario Model'!H31</f>
        <v>1.0015865310325001</v>
      </c>
      <c r="H23" s="99">
        <f>'Stratified Scenario Model'!I31</f>
        <v>1.0015865310325001</v>
      </c>
      <c r="I23" s="99">
        <f>'Stratified Scenario Model'!J31</f>
        <v>0</v>
      </c>
      <c r="J23" s="99">
        <f>'Stratified Scenario Model'!K31</f>
        <v>15</v>
      </c>
      <c r="K23" s="99">
        <f>'Stratified Scenario Model'!L31</f>
        <v>6.3804627249357324</v>
      </c>
      <c r="L23" s="99">
        <f>'Stratified Scenario Model'!M31</f>
        <v>5526</v>
      </c>
      <c r="M23" s="99">
        <f>'Stratified Scenario Model'!N31</f>
        <v>0</v>
      </c>
      <c r="N23" s="99">
        <f>'Stratified Scenario Model'!O31</f>
        <v>5526</v>
      </c>
      <c r="O23" s="99">
        <f>'Stratified Scenario Model'!P31</f>
        <v>82.08289124284282</v>
      </c>
      <c r="P23" s="99">
        <f>'Stratified Scenario Model'!Q31</f>
        <v>8.1635667961767439E-2</v>
      </c>
      <c r="Q23" s="99">
        <f>'Stratified Scenario Model'!R31</f>
        <v>0</v>
      </c>
      <c r="R23" s="99">
        <f>'Stratified Scenario Model'!S31</f>
        <v>8.1635667961767439E-2</v>
      </c>
      <c r="S23" s="99">
        <f>'Stratified Scenario Model'!T31</f>
        <v>25</v>
      </c>
      <c r="T23" s="99">
        <f>'Stratified Scenario Model'!U31</f>
        <v>40</v>
      </c>
      <c r="U23" s="99">
        <f>'Stratified Scenario Model'!V31</f>
        <v>74</v>
      </c>
      <c r="V23" s="99">
        <f>'Stratified Scenario Model'!W31</f>
        <v>0</v>
      </c>
      <c r="W23" s="99">
        <f>'Stratified Scenario Model'!X31</f>
        <v>74</v>
      </c>
      <c r="X23" s="99">
        <f>'Stratified Scenario Model'!Y31</f>
        <v>1.0991918117934072</v>
      </c>
      <c r="Y23" s="99">
        <f>'Stratified Scenario Model'!Z31</f>
        <v>2980</v>
      </c>
      <c r="Z23" s="99">
        <f>'Stratified Scenario Model'!AA31</f>
        <v>0</v>
      </c>
      <c r="AA23" s="99">
        <f>'Stratified Scenario Model'!AB31</f>
        <v>2980</v>
      </c>
      <c r="AB23" s="99">
        <f>'Stratified Scenario Model'!AC31</f>
        <v>44.26475133978856</v>
      </c>
      <c r="AC23" s="99">
        <f>'Stratified Scenario Model'!AD31</f>
        <v>67691</v>
      </c>
      <c r="AD23" s="99">
        <f>'Stratified Scenario Model'!AE31</f>
        <v>0</v>
      </c>
      <c r="AE23" s="99">
        <f>'Stratified Scenario Model'!AF31</f>
        <v>67691</v>
      </c>
      <c r="AF23" s="99">
        <f>'Stratified Scenario Model'!AG31</f>
        <v>1005.478282866318</v>
      </c>
    </row>
    <row r="24" spans="1:32" x14ac:dyDescent="0.25">
      <c r="A24" s="63" t="s">
        <v>176</v>
      </c>
      <c r="B24" s="24" t="s">
        <v>50</v>
      </c>
      <c r="C24" s="27">
        <v>2913314</v>
      </c>
      <c r="D24" s="99">
        <f>'Stratified Scenario Model'!E32</f>
        <v>0</v>
      </c>
      <c r="E24" s="99">
        <f>'Stratified Scenario Model'!F32</f>
        <v>-27</v>
      </c>
      <c r="F24" s="99">
        <f>'Stratified Scenario Model'!G32</f>
        <v>27</v>
      </c>
      <c r="G24" s="99">
        <f>'Stratified Scenario Model'!H32</f>
        <v>1.0712011110205899</v>
      </c>
      <c r="H24" s="99">
        <f>'Stratified Scenario Model'!I32</f>
        <v>1.0712011110205899</v>
      </c>
      <c r="I24" s="99">
        <f>'Stratified Scenario Model'!J32</f>
        <v>0</v>
      </c>
      <c r="J24" s="99">
        <f>'Stratified Scenario Model'!K32</f>
        <v>35</v>
      </c>
      <c r="K24" s="99">
        <f>'Stratified Scenario Model'!L32</f>
        <v>6.9233997901364113</v>
      </c>
      <c r="L24" s="99">
        <f>'Stratified Scenario Model'!M32</f>
        <v>2704</v>
      </c>
      <c r="M24" s="99">
        <f>'Stratified Scenario Model'!N32</f>
        <v>0</v>
      </c>
      <c r="N24" s="99">
        <f>'Stratified Scenario Model'!O32</f>
        <v>2704</v>
      </c>
      <c r="O24" s="99">
        <f>'Stratified Scenario Model'!P32</f>
        <v>92.815261245440766</v>
      </c>
      <c r="P24" s="99">
        <f>'Stratified Scenario Model'!Q32</f>
        <v>0.11806313583373357</v>
      </c>
      <c r="Q24" s="99">
        <f>'Stratified Scenario Model'!R32</f>
        <v>0</v>
      </c>
      <c r="R24" s="99">
        <f>'Stratified Scenario Model'!S32</f>
        <v>0.11806313583373357</v>
      </c>
      <c r="S24" s="99">
        <f>'Stratified Scenario Model'!T32</f>
        <v>25</v>
      </c>
      <c r="T24" s="99">
        <f>'Stratified Scenario Model'!U32</f>
        <v>60</v>
      </c>
      <c r="U24" s="99">
        <f>'Stratified Scenario Model'!V32</f>
        <v>30</v>
      </c>
      <c r="V24" s="99">
        <f>'Stratified Scenario Model'!W32</f>
        <v>0</v>
      </c>
      <c r="W24" s="99">
        <f>'Stratified Scenario Model'!X32</f>
        <v>30</v>
      </c>
      <c r="X24" s="99">
        <f>'Stratified Scenario Model'!Y32</f>
        <v>1.0297551173680557</v>
      </c>
      <c r="Y24" s="99">
        <f>'Stratified Scenario Model'!Z32</f>
        <v>365</v>
      </c>
      <c r="Z24" s="99">
        <f>'Stratified Scenario Model'!AA32</f>
        <v>0</v>
      </c>
      <c r="AA24" s="99">
        <f>'Stratified Scenario Model'!AB32</f>
        <v>365</v>
      </c>
      <c r="AB24" s="99">
        <f>'Stratified Scenario Model'!AC32</f>
        <v>12.528687261311344</v>
      </c>
      <c r="AC24" s="99">
        <f>'Stratified Scenario Model'!AD32</f>
        <v>22903</v>
      </c>
      <c r="AD24" s="99">
        <f>'Stratified Scenario Model'!AE32</f>
        <v>0</v>
      </c>
      <c r="AE24" s="99">
        <f>'Stratified Scenario Model'!AF32</f>
        <v>22903</v>
      </c>
      <c r="AF24" s="99">
        <f>'Stratified Scenario Model'!AG32</f>
        <v>786.14938176935266</v>
      </c>
    </row>
    <row r="25" spans="1:32" x14ac:dyDescent="0.25">
      <c r="A25" t="s">
        <v>177</v>
      </c>
      <c r="B25" s="79" t="s">
        <v>25</v>
      </c>
      <c r="C25" s="80">
        <v>6045680</v>
      </c>
      <c r="D25" s="99">
        <f>'Stratified Scenario Model'!E36</f>
        <v>0</v>
      </c>
      <c r="E25" s="99">
        <f>'Stratified Scenario Model'!F36</f>
        <v>-33</v>
      </c>
      <c r="F25" s="99">
        <f>'Stratified Scenario Model'!G36</f>
        <v>33</v>
      </c>
      <c r="G25" s="99">
        <f>'Stratified Scenario Model'!H36</f>
        <v>1.0476161877500401</v>
      </c>
      <c r="H25" s="99">
        <f>'Stratified Scenario Model'!I36</f>
        <v>1.0476161877500401</v>
      </c>
      <c r="I25" s="99">
        <f>'Stratified Scenario Model'!J36</f>
        <v>0</v>
      </c>
      <c r="J25" s="99">
        <f>'Stratified Scenario Model'!K36</f>
        <v>35</v>
      </c>
      <c r="K25" s="99">
        <f>'Stratified Scenario Model'!L36</f>
        <v>4.4865041928721174</v>
      </c>
      <c r="L25" s="99">
        <f>'Stratified Scenario Model'!M36</f>
        <v>6268</v>
      </c>
      <c r="M25" s="99">
        <f>'Stratified Scenario Model'!N36</f>
        <v>0</v>
      </c>
      <c r="N25" s="99">
        <f>'Stratified Scenario Model'!O36</f>
        <v>6268</v>
      </c>
      <c r="O25" s="99">
        <f>'Stratified Scenario Model'!P36</f>
        <v>103.67733654444164</v>
      </c>
      <c r="P25" s="99">
        <f>'Stratified Scenario Model'!Q36</f>
        <v>5.9627660080480219E-2</v>
      </c>
      <c r="Q25" s="99">
        <f>'Stratified Scenario Model'!R36</f>
        <v>0</v>
      </c>
      <c r="R25" s="99">
        <f>'Stratified Scenario Model'!S36</f>
        <v>5.9627660080480219E-2</v>
      </c>
      <c r="S25" s="99">
        <f>'Stratified Scenario Model'!T36</f>
        <v>15</v>
      </c>
      <c r="T25" s="99">
        <f>'Stratified Scenario Model'!U36</f>
        <v>50</v>
      </c>
      <c r="U25" s="99">
        <f>'Stratified Scenario Model'!V36</f>
        <v>76</v>
      </c>
      <c r="V25" s="99">
        <f>'Stratified Scenario Model'!W36</f>
        <v>0</v>
      </c>
      <c r="W25" s="99">
        <f>'Stratified Scenario Model'!X36</f>
        <v>76</v>
      </c>
      <c r="X25" s="99">
        <f>'Stratified Scenario Model'!Y36</f>
        <v>1.2570959759696179</v>
      </c>
      <c r="Y25" s="99">
        <f>'Stratified Scenario Model'!Z36</f>
        <v>3523</v>
      </c>
      <c r="Z25" s="99">
        <f>'Stratified Scenario Model'!AA36</f>
        <v>0</v>
      </c>
      <c r="AA25" s="99">
        <f>'Stratified Scenario Model'!AB36</f>
        <v>3523</v>
      </c>
      <c r="AB25" s="99">
        <f>'Stratified Scenario Model'!AC36</f>
        <v>58.273014780802164</v>
      </c>
      <c r="AC25" s="99">
        <f>'Stratified Scenario Model'!AD36</f>
        <v>105119</v>
      </c>
      <c r="AD25" s="99">
        <f>'Stratified Scenario Model'!AE36</f>
        <v>0</v>
      </c>
      <c r="AE25" s="99">
        <f>'Stratified Scenario Model'!AF36</f>
        <v>105119</v>
      </c>
      <c r="AF25" s="99">
        <f>'Stratified Scenario Model'!AG36</f>
        <v>1738.7456828677666</v>
      </c>
    </row>
    <row r="26" spans="1:32" x14ac:dyDescent="0.25">
      <c r="A26" t="s">
        <v>178</v>
      </c>
      <c r="B26" s="37" t="s">
        <v>52</v>
      </c>
      <c r="C26" s="22">
        <v>1344212</v>
      </c>
      <c r="D26" s="99">
        <f>'Stratified Scenario Model'!E37</f>
        <v>0</v>
      </c>
      <c r="E26" s="99">
        <f>'Stratified Scenario Model'!F37</f>
        <v>-24</v>
      </c>
      <c r="F26" s="99">
        <f>'Stratified Scenario Model'!G37</f>
        <v>24</v>
      </c>
      <c r="G26" s="99">
        <f>'Stratified Scenario Model'!H37</f>
        <v>0.97583241775441298</v>
      </c>
      <c r="H26" s="99">
        <f>'Stratified Scenario Model'!I37</f>
        <v>0.97583241775441298</v>
      </c>
      <c r="I26" s="99">
        <f>'Stratified Scenario Model'!J37</f>
        <v>0</v>
      </c>
      <c r="J26" s="99">
        <f>'Stratified Scenario Model'!K37</f>
        <v>15</v>
      </c>
      <c r="K26" s="99">
        <f>'Stratified Scenario Model'!L37</f>
        <v>11.834042553191489</v>
      </c>
      <c r="L26" s="99">
        <f>'Stratified Scenario Model'!M37</f>
        <v>138</v>
      </c>
      <c r="M26" s="99">
        <f>'Stratified Scenario Model'!N37</f>
        <v>0</v>
      </c>
      <c r="N26" s="99">
        <f>'Stratified Scenario Model'!O37</f>
        <v>138</v>
      </c>
      <c r="O26" s="99">
        <f>'Stratified Scenario Model'!P37</f>
        <v>10.266237766066661</v>
      </c>
      <c r="P26" s="99">
        <f>'Stratified Scenario Model'!Q37</f>
        <v>8.2614942528735635E-3</v>
      </c>
      <c r="Q26" s="99">
        <f>'Stratified Scenario Model'!R37</f>
        <v>0</v>
      </c>
      <c r="R26" s="99">
        <f>'Stratified Scenario Model'!S37</f>
        <v>8.2614942528735635E-3</v>
      </c>
      <c r="S26" s="99">
        <f>'Stratified Scenario Model'!T37</f>
        <v>10</v>
      </c>
      <c r="T26" s="99">
        <f>'Stratified Scenario Model'!U37</f>
        <v>25</v>
      </c>
      <c r="U26" s="99">
        <f>'Stratified Scenario Model'!V37</f>
        <v>5</v>
      </c>
      <c r="V26" s="99">
        <f>'Stratified Scenario Model'!W37</f>
        <v>0</v>
      </c>
      <c r="W26" s="99">
        <f>'Stratified Scenario Model'!X37</f>
        <v>5</v>
      </c>
      <c r="X26" s="99">
        <f>'Stratified Scenario Model'!Y37</f>
        <v>0.37196513645169066</v>
      </c>
      <c r="Y26" s="99">
        <f>'Stratified Scenario Model'!Z37</f>
        <v>124</v>
      </c>
      <c r="Z26" s="99">
        <f>'Stratified Scenario Model'!AA37</f>
        <v>0</v>
      </c>
      <c r="AA26" s="99">
        <f>'Stratified Scenario Model'!AB37</f>
        <v>124</v>
      </c>
      <c r="AB26" s="99">
        <f>'Stratified Scenario Model'!AC37</f>
        <v>9.2247353840019279</v>
      </c>
      <c r="AC26" s="99">
        <f>'Stratified Scenario Model'!AD37</f>
        <v>16704</v>
      </c>
      <c r="AD26" s="99">
        <f>'Stratified Scenario Model'!AE37</f>
        <v>0</v>
      </c>
      <c r="AE26" s="99">
        <f>'Stratified Scenario Model'!AF37</f>
        <v>16704</v>
      </c>
      <c r="AF26" s="99">
        <f>'Stratified Scenario Model'!AG37</f>
        <v>1242.6611278578082</v>
      </c>
    </row>
    <row r="27" spans="1:32" ht="45" x14ac:dyDescent="0.25">
      <c r="A27" s="63" t="s">
        <v>179</v>
      </c>
      <c r="B27" s="24" t="s">
        <v>63</v>
      </c>
      <c r="C27" s="27">
        <v>5639632</v>
      </c>
      <c r="D27" s="99">
        <f>'Stratified Scenario Model'!E39</f>
        <v>0</v>
      </c>
      <c r="E27" s="99">
        <f>'Stratified Scenario Model'!F39</f>
        <v>-29</v>
      </c>
      <c r="F27" s="99">
        <f>'Stratified Scenario Model'!G39</f>
        <v>29</v>
      </c>
      <c r="G27" s="99">
        <f>'Stratified Scenario Model'!H39</f>
        <v>1.07437579663226</v>
      </c>
      <c r="H27" s="99">
        <f>'Stratified Scenario Model'!I39</f>
        <v>1.07437579663226</v>
      </c>
      <c r="I27" s="99">
        <f>'Stratified Scenario Model'!J39</f>
        <v>0</v>
      </c>
      <c r="J27" s="99">
        <f>'Stratified Scenario Model'!K39</f>
        <v>35</v>
      </c>
      <c r="K27" s="99">
        <f>'Stratified Scenario Model'!L39</f>
        <v>6.4187751241428233</v>
      </c>
      <c r="L27" s="99">
        <f>'Stratified Scenario Model'!M39</f>
        <v>4757</v>
      </c>
      <c r="M27" s="99">
        <f>'Stratified Scenario Model'!N39</f>
        <v>0</v>
      </c>
      <c r="N27" s="99">
        <f>'Stratified Scenario Model'!O39</f>
        <v>4757</v>
      </c>
      <c r="O27" s="99">
        <f>'Stratified Scenario Model'!P39</f>
        <v>84.349475284912216</v>
      </c>
      <c r="P27" s="99">
        <f>'Stratified Scenario Model'!Q39</f>
        <v>-4.818581471201961E-2</v>
      </c>
      <c r="Q27" s="99">
        <f>'Stratified Scenario Model'!R39</f>
        <v>0</v>
      </c>
      <c r="R27" s="99">
        <f>'Stratified Scenario Model'!S39</f>
        <v>-4.818581471201961E-2</v>
      </c>
      <c r="S27" s="99" t="e">
        <f>'Stratified Scenario Model'!T39</f>
        <v>#N/A</v>
      </c>
      <c r="T27" s="99" t="e">
        <f>'Stratified Scenario Model'!U39</f>
        <v>#N/A</v>
      </c>
      <c r="U27" s="99">
        <f>'Stratified Scenario Model'!V39</f>
        <v>40</v>
      </c>
      <c r="V27" s="99">
        <f>'Stratified Scenario Model'!W39</f>
        <v>0</v>
      </c>
      <c r="W27" s="99">
        <f>'Stratified Scenario Model'!X39</f>
        <v>40</v>
      </c>
      <c r="X27" s="99">
        <f>'Stratified Scenario Model'!Y39</f>
        <v>0.70926613651387183</v>
      </c>
      <c r="Y27" s="99">
        <f>'Stratified Scenario Model'!Z39</f>
        <v>1656</v>
      </c>
      <c r="Z27" s="99">
        <f>'Stratified Scenario Model'!AA39</f>
        <v>0</v>
      </c>
      <c r="AA27" s="99">
        <f>'Stratified Scenario Model'!AB39</f>
        <v>1656</v>
      </c>
      <c r="AB27" s="99">
        <f>'Stratified Scenario Model'!AC39</f>
        <v>29.363618051674294</v>
      </c>
      <c r="AC27" s="99">
        <f>'Stratified Scenario Model'!AD39</f>
        <v>-98722</v>
      </c>
      <c r="AD27" s="99">
        <f>'Stratified Scenario Model'!AE39</f>
        <v>0</v>
      </c>
      <c r="AE27" s="99">
        <f>'Stratified Scenario Model'!AF39</f>
        <v>-98722</v>
      </c>
      <c r="AF27" s="99">
        <f>'Stratified Scenario Model'!AG39</f>
        <v>-1750.5042882230614</v>
      </c>
    </row>
    <row r="28" spans="1:32" ht="60" x14ac:dyDescent="0.25">
      <c r="A28" s="63" t="s">
        <v>180</v>
      </c>
      <c r="B28" s="36" t="s">
        <v>53</v>
      </c>
      <c r="C28" s="41">
        <v>6137428</v>
      </c>
      <c r="D28" s="99">
        <f>'Stratified Scenario Model'!E40</f>
        <v>0</v>
      </c>
      <c r="E28" s="99">
        <f>'Stratified Scenario Model'!F40</f>
        <v>-26</v>
      </c>
      <c r="F28" s="99">
        <f>'Stratified Scenario Model'!G40</f>
        <v>26</v>
      </c>
      <c r="G28" s="99">
        <f>'Stratified Scenario Model'!H40</f>
        <v>1.22029376627693</v>
      </c>
      <c r="H28" s="99">
        <f>'Stratified Scenario Model'!I40</f>
        <v>1.22029376627693</v>
      </c>
      <c r="I28" s="99">
        <f>'Stratified Scenario Model'!J40</f>
        <v>0</v>
      </c>
      <c r="J28" s="99">
        <f>'Stratified Scenario Model'!K40</f>
        <v>35</v>
      </c>
      <c r="K28" s="99">
        <f>'Stratified Scenario Model'!L40</f>
        <v>12.892074198988196</v>
      </c>
      <c r="L28" s="99">
        <f>'Stratified Scenario Model'!M40</f>
        <v>9837</v>
      </c>
      <c r="M28" s="99">
        <f>'Stratified Scenario Model'!N40</f>
        <v>0</v>
      </c>
      <c r="N28" s="99">
        <f>'Stratified Scenario Model'!O40</f>
        <v>9837</v>
      </c>
      <c r="O28" s="99">
        <f>'Stratified Scenario Model'!P40</f>
        <v>160.27886600054615</v>
      </c>
      <c r="P28" s="99">
        <f>'Stratified Scenario Model'!Q40</f>
        <v>0.13846348741624909</v>
      </c>
      <c r="Q28" s="99">
        <f>'Stratified Scenario Model'!R40</f>
        <v>0</v>
      </c>
      <c r="R28" s="99">
        <f>'Stratified Scenario Model'!S40</f>
        <v>0.13846348741624909</v>
      </c>
      <c r="S28" s="99">
        <f>'Stratified Scenario Model'!T40</f>
        <v>40</v>
      </c>
      <c r="T28" s="99">
        <f>'Stratified Scenario Model'!U40</f>
        <v>75</v>
      </c>
      <c r="U28" s="99">
        <f>'Stratified Scenario Model'!V40</f>
        <v>54</v>
      </c>
      <c r="V28" s="99">
        <f>'Stratified Scenario Model'!W40</f>
        <v>0</v>
      </c>
      <c r="W28" s="99">
        <f>'Stratified Scenario Model'!X40</f>
        <v>54</v>
      </c>
      <c r="X28" s="99">
        <f>'Stratified Scenario Model'!Y40</f>
        <v>0.87984738884105851</v>
      </c>
      <c r="Y28" s="99">
        <f>'Stratified Scenario Model'!Z40</f>
        <v>1255</v>
      </c>
      <c r="Z28" s="99">
        <f>'Stratified Scenario Model'!AA40</f>
        <v>0</v>
      </c>
      <c r="AA28" s="99">
        <f>'Stratified Scenario Model'!AB40</f>
        <v>1255</v>
      </c>
      <c r="AB28" s="99">
        <f>'Stratified Scenario Model'!AC40</f>
        <v>20.448305055472748</v>
      </c>
      <c r="AC28" s="99">
        <f>'Stratified Scenario Model'!AD40</f>
        <v>71044</v>
      </c>
      <c r="AD28" s="99">
        <f>'Stratified Scenario Model'!AE40</f>
        <v>0</v>
      </c>
      <c r="AE28" s="99">
        <f>'Stratified Scenario Model'!AF40</f>
        <v>71044</v>
      </c>
      <c r="AF28" s="99">
        <f>'Stratified Scenario Model'!AG40</f>
        <v>1157.5532943115586</v>
      </c>
    </row>
    <row r="29" spans="1:32" x14ac:dyDescent="0.25">
      <c r="A29" t="s">
        <v>231</v>
      </c>
      <c r="B29" s="24" t="s">
        <v>208</v>
      </c>
      <c r="C29" s="27">
        <v>2976149</v>
      </c>
      <c r="D29" s="99">
        <f>'Stratified Scenario Model'!E41</f>
        <v>0</v>
      </c>
      <c r="E29" s="99">
        <f>'Stratified Scenario Model'!F41</f>
        <v>-30</v>
      </c>
      <c r="F29" s="99">
        <f>'Stratified Scenario Model'!G41</f>
        <v>30</v>
      </c>
      <c r="G29" s="99">
        <f>'Stratified Scenario Model'!H41</f>
        <v>1.0617241140886899</v>
      </c>
      <c r="H29" s="99">
        <f>'Stratified Scenario Model'!I41</f>
        <v>1.0617241140886899</v>
      </c>
      <c r="I29" s="99">
        <f>'Stratified Scenario Model'!J41</f>
        <v>0</v>
      </c>
      <c r="J29" s="99">
        <f>'Stratified Scenario Model'!K41</f>
        <v>35</v>
      </c>
      <c r="K29" s="99">
        <f>'Stratified Scenario Model'!L41</f>
        <v>7.721539283805452</v>
      </c>
      <c r="L29" s="99">
        <f>'Stratified Scenario Model'!M41</f>
        <v>8168</v>
      </c>
      <c r="M29" s="99">
        <f>'Stratified Scenario Model'!N41</f>
        <v>0</v>
      </c>
      <c r="N29" s="99">
        <f>'Stratified Scenario Model'!O41</f>
        <v>8168</v>
      </c>
      <c r="O29" s="99">
        <f>'Stratified Scenario Model'!P41</f>
        <v>274.44862471603403</v>
      </c>
      <c r="P29" s="99">
        <f>'Stratified Scenario Model'!Q41</f>
        <v>0.23257403189066059</v>
      </c>
      <c r="Q29" s="99">
        <f>'Stratified Scenario Model'!R41</f>
        <v>0</v>
      </c>
      <c r="R29" s="99">
        <f>'Stratified Scenario Model'!S41</f>
        <v>0.23257403189066059</v>
      </c>
      <c r="S29" s="99">
        <f>'Stratified Scenario Model'!T41</f>
        <v>50</v>
      </c>
      <c r="T29" s="99">
        <f>'Stratified Scenario Model'!U41</f>
        <v>85</v>
      </c>
      <c r="U29" s="99">
        <f>'Stratified Scenario Model'!V41</f>
        <v>210</v>
      </c>
      <c r="V29" s="99">
        <f>'Stratified Scenario Model'!W41</f>
        <v>0</v>
      </c>
      <c r="W29" s="99">
        <f>'Stratified Scenario Model'!X41</f>
        <v>210</v>
      </c>
      <c r="X29" s="99">
        <f>'Stratified Scenario Model'!Y41</f>
        <v>7.0560983337863803</v>
      </c>
      <c r="Y29" s="99">
        <f>'Stratified Scenario Model'!Z41</f>
        <v>1711</v>
      </c>
      <c r="Z29" s="99">
        <f>'Stratified Scenario Model'!AA41</f>
        <v>0</v>
      </c>
      <c r="AA29" s="99">
        <f>'Stratified Scenario Model'!AB41</f>
        <v>1711</v>
      </c>
      <c r="AB29" s="99">
        <f>'Stratified Scenario Model'!AC41</f>
        <v>57.490401186230933</v>
      </c>
      <c r="AC29" s="99">
        <f>'Stratified Scenario Model'!AD41</f>
        <v>35120</v>
      </c>
      <c r="AD29" s="99">
        <f>'Stratified Scenario Model'!AE41</f>
        <v>0</v>
      </c>
      <c r="AE29" s="99">
        <f>'Stratified Scenario Model'!AF41</f>
        <v>35120</v>
      </c>
      <c r="AF29" s="99">
        <f>'Stratified Scenario Model'!AG41</f>
        <v>1180.0484451551317</v>
      </c>
    </row>
    <row r="30" spans="1:32" ht="30" x14ac:dyDescent="0.25">
      <c r="A30" s="63" t="s">
        <v>232</v>
      </c>
      <c r="B30" s="79" t="s">
        <v>212</v>
      </c>
      <c r="C30" s="80">
        <v>8882190</v>
      </c>
      <c r="D30" s="99">
        <f>'Stratified Scenario Model'!E47</f>
        <v>0</v>
      </c>
      <c r="E30" s="99">
        <f>'Stratified Scenario Model'!F47</f>
        <v>-32</v>
      </c>
      <c r="F30" s="99">
        <f>'Stratified Scenario Model'!G47</f>
        <v>32</v>
      </c>
      <c r="G30" s="99">
        <f>'Stratified Scenario Model'!H47</f>
        <v>0.965851159296373</v>
      </c>
      <c r="H30" s="99">
        <f>'Stratified Scenario Model'!I47</f>
        <v>0.965851159296373</v>
      </c>
      <c r="I30" s="99">
        <f>'Stratified Scenario Model'!J47</f>
        <v>0</v>
      </c>
      <c r="J30" s="99">
        <f>'Stratified Scenario Model'!K47</f>
        <v>15</v>
      </c>
      <c r="K30" s="99">
        <f>'Stratified Scenario Model'!L47</f>
        <v>2.9860508576386571</v>
      </c>
      <c r="L30" s="99">
        <f>'Stratified Scenario Model'!M47</f>
        <v>2802</v>
      </c>
      <c r="M30" s="99">
        <f>'Stratified Scenario Model'!N47</f>
        <v>0</v>
      </c>
      <c r="N30" s="99">
        <f>'Stratified Scenario Model'!O47</f>
        <v>2802</v>
      </c>
      <c r="O30" s="99">
        <f>'Stratified Scenario Model'!P47</f>
        <v>31.546274060789063</v>
      </c>
      <c r="P30" s="99">
        <f>'Stratified Scenario Model'!Q47</f>
        <v>1.5503018164314288E-2</v>
      </c>
      <c r="Q30" s="99">
        <f>'Stratified Scenario Model'!R47</f>
        <v>0</v>
      </c>
      <c r="R30" s="99">
        <f>'Stratified Scenario Model'!S47</f>
        <v>1.5503018164314288E-2</v>
      </c>
      <c r="S30" s="99">
        <f>'Stratified Scenario Model'!T47</f>
        <v>10</v>
      </c>
      <c r="T30" s="99">
        <f>'Stratified Scenario Model'!U47</f>
        <v>25</v>
      </c>
      <c r="U30" s="99">
        <f>'Stratified Scenario Model'!V47</f>
        <v>42</v>
      </c>
      <c r="V30" s="99">
        <f>'Stratified Scenario Model'!W47</f>
        <v>0</v>
      </c>
      <c r="W30" s="99">
        <f>'Stratified Scenario Model'!X47</f>
        <v>42</v>
      </c>
      <c r="X30" s="99">
        <f>'Stratified Scenario Model'!Y47</f>
        <v>0.47285635637157053</v>
      </c>
      <c r="Y30" s="99">
        <f>'Stratified Scenario Model'!Z47</f>
        <v>15846</v>
      </c>
      <c r="Z30" s="99">
        <f>'Stratified Scenario Model'!AA47</f>
        <v>0</v>
      </c>
      <c r="AA30" s="99">
        <f>'Stratified Scenario Model'!AB47</f>
        <v>15846</v>
      </c>
      <c r="AB30" s="99">
        <f>'Stratified Scenario Model'!AC47</f>
        <v>178.40194816818826</v>
      </c>
      <c r="AC30" s="99">
        <f>'Stratified Scenario Model'!AD47</f>
        <v>180739</v>
      </c>
      <c r="AD30" s="99">
        <f>'Stratified Scenario Model'!AE47</f>
        <v>0</v>
      </c>
      <c r="AE30" s="99">
        <f>'Stratified Scenario Model'!AF47</f>
        <v>180739</v>
      </c>
      <c r="AF30" s="99">
        <f>'Stratified Scenario Model'!AG47</f>
        <v>2034.8472617676496</v>
      </c>
    </row>
    <row r="31" spans="1:32" ht="30" x14ac:dyDescent="0.25">
      <c r="A31" s="63" t="s">
        <v>183</v>
      </c>
      <c r="B31" s="40" t="s">
        <v>32</v>
      </c>
      <c r="C31" s="21">
        <v>19453561</v>
      </c>
      <c r="D31" s="99">
        <f>'Stratified Scenario Model'!E50</f>
        <v>0</v>
      </c>
      <c r="E31" s="99">
        <f>'Stratified Scenario Model'!F50</f>
        <v>-39</v>
      </c>
      <c r="F31" s="99">
        <f>'Stratified Scenario Model'!G50</f>
        <v>39</v>
      </c>
      <c r="G31" s="99">
        <f>'Stratified Scenario Model'!H50</f>
        <v>0.94174576606069504</v>
      </c>
      <c r="H31" s="99">
        <f>'Stratified Scenario Model'!I50</f>
        <v>0.94174576606069504</v>
      </c>
      <c r="I31" s="99">
        <f>'Stratified Scenario Model'!J50</f>
        <v>0</v>
      </c>
      <c r="J31" s="99">
        <f>'Stratified Scenario Model'!K50</f>
        <v>15</v>
      </c>
      <c r="K31" s="99">
        <f>'Stratified Scenario Model'!L50</f>
        <v>8.1316320831722297</v>
      </c>
      <c r="L31" s="99">
        <f>'Stratified Scenario Model'!M50</f>
        <v>4499</v>
      </c>
      <c r="M31" s="99">
        <f>'Stratified Scenario Model'!N50</f>
        <v>0</v>
      </c>
      <c r="N31" s="99">
        <f>'Stratified Scenario Model'!O50</f>
        <v>4499</v>
      </c>
      <c r="O31" s="99">
        <f>'Stratified Scenario Model'!P50</f>
        <v>23.126871219104821</v>
      </c>
      <c r="P31" s="99">
        <f>'Stratified Scenario Model'!Q50</f>
        <v>9.8743484224965705E-3</v>
      </c>
      <c r="Q31" s="99">
        <f>'Stratified Scenario Model'!R50</f>
        <v>0</v>
      </c>
      <c r="R31" s="99">
        <f>'Stratified Scenario Model'!S50</f>
        <v>9.8743484224965705E-3</v>
      </c>
      <c r="S31" s="99">
        <f>'Stratified Scenario Model'!T50</f>
        <v>10</v>
      </c>
      <c r="T31" s="99">
        <f>'Stratified Scenario Model'!U50</f>
        <v>25</v>
      </c>
      <c r="U31" s="99">
        <f>'Stratified Scenario Model'!V50</f>
        <v>55</v>
      </c>
      <c r="V31" s="99">
        <f>'Stratified Scenario Model'!W50</f>
        <v>0</v>
      </c>
      <c r="W31" s="99">
        <f>'Stratified Scenario Model'!X50</f>
        <v>55</v>
      </c>
      <c r="X31" s="99">
        <f>'Stratified Scenario Model'!Y50</f>
        <v>0.28272458703062131</v>
      </c>
      <c r="Y31" s="99">
        <f>'Stratified Scenario Model'!Z50</f>
        <v>25172</v>
      </c>
      <c r="Z31" s="99">
        <f>'Stratified Scenario Model'!AA50</f>
        <v>0</v>
      </c>
      <c r="AA31" s="99">
        <f>'Stratified Scenario Model'!AB50</f>
        <v>25172</v>
      </c>
      <c r="AB31" s="99">
        <f>'Stratified Scenario Model'!AC50</f>
        <v>129.39533281335997</v>
      </c>
      <c r="AC31" s="99">
        <f>'Stratified Scenario Model'!AD50</f>
        <v>455625</v>
      </c>
      <c r="AD31" s="99">
        <f>'Stratified Scenario Model'!AE50</f>
        <v>0</v>
      </c>
      <c r="AE31" s="99">
        <f>'Stratified Scenario Model'!AF50</f>
        <v>455625</v>
      </c>
      <c r="AF31" s="99">
        <f>'Stratified Scenario Model'!AG50</f>
        <v>2342.1161811968514</v>
      </c>
    </row>
    <row r="32" spans="1:32" x14ac:dyDescent="0.25">
      <c r="A32" t="s">
        <v>184</v>
      </c>
      <c r="B32" s="23" t="s">
        <v>56</v>
      </c>
      <c r="C32" s="26">
        <v>11689100</v>
      </c>
      <c r="D32" s="99">
        <f>'Stratified Scenario Model'!E51</f>
        <v>0</v>
      </c>
      <c r="E32" s="99">
        <f>'Stratified Scenario Model'!F51</f>
        <v>-26</v>
      </c>
      <c r="F32" s="99">
        <f>'Stratified Scenario Model'!G51</f>
        <v>26</v>
      </c>
      <c r="G32" s="99">
        <f>'Stratified Scenario Model'!H51</f>
        <v>0.918456294509577</v>
      </c>
      <c r="H32" s="99">
        <f>'Stratified Scenario Model'!I51</f>
        <v>0.918456294509577</v>
      </c>
      <c r="I32" s="99">
        <f>'Stratified Scenario Model'!J51</f>
        <v>0</v>
      </c>
      <c r="J32" s="99">
        <f>'Stratified Scenario Model'!K51</f>
        <v>15</v>
      </c>
      <c r="K32" s="99">
        <f>'Stratified Scenario Model'!L51</f>
        <v>10.27509746588694</v>
      </c>
      <c r="L32" s="99">
        <f>'Stratified Scenario Model'!M51</f>
        <v>8786</v>
      </c>
      <c r="M32" s="99">
        <f>'Stratified Scenario Model'!N51</f>
        <v>0</v>
      </c>
      <c r="N32" s="99">
        <f>'Stratified Scenario Model'!O51</f>
        <v>8786</v>
      </c>
      <c r="O32" s="99">
        <f>'Stratified Scenario Model'!P51</f>
        <v>75.164041714075509</v>
      </c>
      <c r="P32" s="99">
        <f>'Stratified Scenario Model'!Q51</f>
        <v>4.5893076340463315E-2</v>
      </c>
      <c r="Q32" s="99">
        <f>'Stratified Scenario Model'!R51</f>
        <v>0</v>
      </c>
      <c r="R32" s="99">
        <f>'Stratified Scenario Model'!S51</f>
        <v>4.5893076340463315E-2</v>
      </c>
      <c r="S32" s="99">
        <f>'Stratified Scenario Model'!T51</f>
        <v>15</v>
      </c>
      <c r="T32" s="99">
        <f>'Stratified Scenario Model'!U51</f>
        <v>30</v>
      </c>
      <c r="U32" s="99">
        <f>'Stratified Scenario Model'!V51</f>
        <v>195</v>
      </c>
      <c r="V32" s="99">
        <f>'Stratified Scenario Model'!W51</f>
        <v>0</v>
      </c>
      <c r="W32" s="99">
        <f>'Stratified Scenario Model'!X51</f>
        <v>195</v>
      </c>
      <c r="X32" s="99">
        <f>'Stratified Scenario Model'!Y51</f>
        <v>1.668220821106843</v>
      </c>
      <c r="Y32" s="99">
        <f>'Stratified Scenario Model'!Z51</f>
        <v>3539</v>
      </c>
      <c r="Z32" s="99">
        <f>'Stratified Scenario Model'!AA51</f>
        <v>0</v>
      </c>
      <c r="AA32" s="99">
        <f>'Stratified Scenario Model'!AB51</f>
        <v>3539</v>
      </c>
      <c r="AB32" s="99">
        <f>'Stratified Scenario Model'!AC51</f>
        <v>30.276069158446759</v>
      </c>
      <c r="AC32" s="99">
        <f>'Stratified Scenario Model'!AD51</f>
        <v>191445</v>
      </c>
      <c r="AD32" s="99">
        <f>'Stratified Scenario Model'!AE51</f>
        <v>0</v>
      </c>
      <c r="AE32" s="99">
        <f>'Stratified Scenario Model'!AF51</f>
        <v>191445</v>
      </c>
      <c r="AF32" s="99">
        <f>'Stratified Scenario Model'!AG51</f>
        <v>1637.8078722912801</v>
      </c>
    </row>
    <row r="33" spans="1:32" x14ac:dyDescent="0.25">
      <c r="A33" t="s">
        <v>185</v>
      </c>
      <c r="B33" s="23" t="s">
        <v>140</v>
      </c>
      <c r="C33" s="26">
        <v>6829174</v>
      </c>
      <c r="D33" s="99">
        <f>'Stratified Scenario Model'!E58</f>
        <v>0</v>
      </c>
      <c r="E33" s="99">
        <f>'Stratified Scenario Model'!F58</f>
        <v>-26</v>
      </c>
      <c r="F33" s="99">
        <f>'Stratified Scenario Model'!G58</f>
        <v>26</v>
      </c>
      <c r="G33" s="99">
        <f>'Stratified Scenario Model'!H58</f>
        <v>0.98014028144167498</v>
      </c>
      <c r="H33" s="99">
        <f>'Stratified Scenario Model'!I58</f>
        <v>0.98014028144167498</v>
      </c>
      <c r="I33" s="99">
        <f>'Stratified Scenario Model'!J58</f>
        <v>0</v>
      </c>
      <c r="J33" s="99">
        <f>'Stratified Scenario Model'!K58</f>
        <v>15</v>
      </c>
      <c r="K33" s="99">
        <f>'Stratified Scenario Model'!L58</f>
        <v>17.465635227610829</v>
      </c>
      <c r="L33" s="99">
        <f>'Stratified Scenario Model'!M58</f>
        <v>14147</v>
      </c>
      <c r="M33" s="99">
        <f>'Stratified Scenario Model'!N58</f>
        <v>0</v>
      </c>
      <c r="N33" s="99">
        <f>'Stratified Scenario Model'!O58</f>
        <v>14147</v>
      </c>
      <c r="O33" s="99">
        <f>'Stratified Scenario Model'!P58</f>
        <v>207.15536022365222</v>
      </c>
      <c r="P33" s="99">
        <f>'Stratified Scenario Model'!Q58</f>
        <v>8.6748302990538442E-2</v>
      </c>
      <c r="Q33" s="99">
        <f>'Stratified Scenario Model'!R58</f>
        <v>0</v>
      </c>
      <c r="R33" s="99">
        <f>'Stratified Scenario Model'!S58</f>
        <v>8.6748302990538442E-2</v>
      </c>
      <c r="S33" s="99">
        <f>'Stratified Scenario Model'!T58</f>
        <v>25</v>
      </c>
      <c r="T33" s="99">
        <f>'Stratified Scenario Model'!U58</f>
        <v>40</v>
      </c>
      <c r="U33" s="99">
        <f>'Stratified Scenario Model'!V58</f>
        <v>114</v>
      </c>
      <c r="V33" s="99">
        <f>'Stratified Scenario Model'!W58</f>
        <v>0</v>
      </c>
      <c r="W33" s="99">
        <f>'Stratified Scenario Model'!X58</f>
        <v>114</v>
      </c>
      <c r="X33" s="99">
        <f>'Stratified Scenario Model'!Y58</f>
        <v>1.6693087626702732</v>
      </c>
      <c r="Y33" s="99">
        <f>'Stratified Scenario Model'!Z58</f>
        <v>1092</v>
      </c>
      <c r="Z33" s="99">
        <f>'Stratified Scenario Model'!AA58</f>
        <v>0</v>
      </c>
      <c r="AA33" s="99">
        <f>'Stratified Scenario Model'!AB58</f>
        <v>1092</v>
      </c>
      <c r="AB33" s="99">
        <f>'Stratified Scenario Model'!AC58</f>
        <v>15.990220779262616</v>
      </c>
      <c r="AC33" s="99">
        <f>'Stratified Scenario Model'!AD58</f>
        <v>163081</v>
      </c>
      <c r="AD33" s="99">
        <f>'Stratified Scenario Model'!AE58</f>
        <v>0</v>
      </c>
      <c r="AE33" s="99">
        <f>'Stratified Scenario Model'!AF58</f>
        <v>163081</v>
      </c>
      <c r="AF33" s="99">
        <f>'Stratified Scenario Model'!AG58</f>
        <v>2388.0047572371122</v>
      </c>
    </row>
    <row r="34" spans="1:32" x14ac:dyDescent="0.25">
      <c r="A34" t="s">
        <v>233</v>
      </c>
      <c r="B34" s="25" t="s">
        <v>199</v>
      </c>
      <c r="C34" s="28">
        <v>28995881</v>
      </c>
      <c r="D34" s="99">
        <f>'Stratified Scenario Model'!E59</f>
        <v>0</v>
      </c>
      <c r="E34" s="99">
        <f>'Stratified Scenario Model'!F59</f>
        <v>-36</v>
      </c>
      <c r="F34" s="99">
        <f>'Stratified Scenario Model'!G59</f>
        <v>36</v>
      </c>
      <c r="G34" s="99">
        <f>'Stratified Scenario Model'!H59</f>
        <v>0.93338032441165097</v>
      </c>
      <c r="H34" s="99">
        <f>'Stratified Scenario Model'!I59</f>
        <v>0.93338032441165097</v>
      </c>
      <c r="I34" s="99">
        <f>'Stratified Scenario Model'!J59</f>
        <v>0</v>
      </c>
      <c r="J34" s="99">
        <f>'Stratified Scenario Model'!K59</f>
        <v>15</v>
      </c>
      <c r="K34" s="99">
        <f>'Stratified Scenario Model'!L59</f>
        <v>17.097357250445022</v>
      </c>
      <c r="L34" s="99">
        <f>'Stratified Scenario Model'!M59</f>
        <v>56091</v>
      </c>
      <c r="M34" s="99">
        <f>'Stratified Scenario Model'!N59</f>
        <v>0</v>
      </c>
      <c r="N34" s="99">
        <f>'Stratified Scenario Model'!O59</f>
        <v>56091</v>
      </c>
      <c r="O34" s="99">
        <f>'Stratified Scenario Model'!P59</f>
        <v>193.44471719966018</v>
      </c>
      <c r="P34" s="99">
        <f>'Stratified Scenario Model'!Q59</f>
        <v>0.13825596986965866</v>
      </c>
      <c r="Q34" s="99">
        <f>'Stratified Scenario Model'!R59</f>
        <v>0</v>
      </c>
      <c r="R34" s="99">
        <f>'Stratified Scenario Model'!S59</f>
        <v>0.13825596986965866</v>
      </c>
      <c r="S34" s="99">
        <f>'Stratified Scenario Model'!T59</f>
        <v>40</v>
      </c>
      <c r="T34" s="99">
        <f>'Stratified Scenario Model'!U59</f>
        <v>55</v>
      </c>
      <c r="U34" s="99">
        <f>'Stratified Scenario Model'!V59</f>
        <v>1303</v>
      </c>
      <c r="V34" s="99">
        <f>'Stratified Scenario Model'!W59</f>
        <v>0</v>
      </c>
      <c r="W34" s="99">
        <f>'Stratified Scenario Model'!X59</f>
        <v>1303</v>
      </c>
      <c r="X34" s="99">
        <f>'Stratified Scenario Model'!Y59</f>
        <v>4.4937417145559397</v>
      </c>
      <c r="Y34" s="99">
        <f>'Stratified Scenario Model'!Z59</f>
        <v>7016</v>
      </c>
      <c r="Z34" s="99">
        <f>'Stratified Scenario Model'!AA59</f>
        <v>0</v>
      </c>
      <c r="AA34" s="99">
        <f>'Stratified Scenario Model'!AB59</f>
        <v>7016</v>
      </c>
      <c r="AB34" s="99">
        <f>'Stratified Scenario Model'!AC59</f>
        <v>24.196540191346486</v>
      </c>
      <c r="AC34" s="99">
        <f>'Stratified Scenario Model'!AD59</f>
        <v>405704</v>
      </c>
      <c r="AD34" s="99">
        <f>'Stratified Scenario Model'!AE59</f>
        <v>0</v>
      </c>
      <c r="AE34" s="99">
        <f>'Stratified Scenario Model'!AF59</f>
        <v>405704</v>
      </c>
      <c r="AF34" s="99">
        <f>'Stratified Scenario Model'!AG59</f>
        <v>1399.1780418742924</v>
      </c>
    </row>
    <row r="35" spans="1:32" x14ac:dyDescent="0.25">
      <c r="A35" t="s">
        <v>187</v>
      </c>
      <c r="B35" s="37" t="s">
        <v>36</v>
      </c>
      <c r="C35" s="22">
        <v>8535519</v>
      </c>
      <c r="D35" s="99">
        <f>'Stratified Scenario Model'!E61</f>
        <v>0</v>
      </c>
      <c r="E35" s="99">
        <f>'Stratified Scenario Model'!F61</f>
        <v>-30</v>
      </c>
      <c r="F35" s="99">
        <f>'Stratified Scenario Model'!G61</f>
        <v>30</v>
      </c>
      <c r="G35" s="99">
        <f>'Stratified Scenario Model'!H61</f>
        <v>1.02329064255659</v>
      </c>
      <c r="H35" s="99">
        <f>'Stratified Scenario Model'!I61</f>
        <v>1.02329064255659</v>
      </c>
      <c r="I35" s="99">
        <f>'Stratified Scenario Model'!J61</f>
        <v>0</v>
      </c>
      <c r="J35" s="99">
        <f>'Stratified Scenario Model'!K61</f>
        <v>35</v>
      </c>
      <c r="K35" s="99">
        <f>'Stratified Scenario Model'!L61</f>
        <v>5.5281271837875607</v>
      </c>
      <c r="L35" s="99">
        <f>'Stratified Scenario Model'!M61</f>
        <v>7034</v>
      </c>
      <c r="M35" s="99">
        <f>'Stratified Scenario Model'!N61</f>
        <v>0</v>
      </c>
      <c r="N35" s="99">
        <f>'Stratified Scenario Model'!O61</f>
        <v>7034</v>
      </c>
      <c r="O35" s="99">
        <f>'Stratified Scenario Model'!P61</f>
        <v>82.40857995864107</v>
      </c>
      <c r="P35" s="99">
        <f>'Stratified Scenario Model'!Q61</f>
        <v>6.0691821186053131E-2</v>
      </c>
      <c r="Q35" s="99">
        <f>'Stratified Scenario Model'!R61</f>
        <v>0</v>
      </c>
      <c r="R35" s="99">
        <f>'Stratified Scenario Model'!S61</f>
        <v>6.0691821186053131E-2</v>
      </c>
      <c r="S35" s="99">
        <f>'Stratified Scenario Model'!T61</f>
        <v>15</v>
      </c>
      <c r="T35" s="99">
        <f>'Stratified Scenario Model'!U61</f>
        <v>50</v>
      </c>
      <c r="U35" s="99">
        <f>'Stratified Scenario Model'!V61</f>
        <v>136</v>
      </c>
      <c r="V35" s="99">
        <f>'Stratified Scenario Model'!W61</f>
        <v>0</v>
      </c>
      <c r="W35" s="99">
        <f>'Stratified Scenario Model'!X61</f>
        <v>136</v>
      </c>
      <c r="X35" s="99">
        <f>'Stratified Scenario Model'!Y61</f>
        <v>1.5933418928597078</v>
      </c>
      <c r="Y35" s="99">
        <f>'Stratified Scenario Model'!Z61</f>
        <v>2218</v>
      </c>
      <c r="Z35" s="99">
        <f>'Stratified Scenario Model'!AA61</f>
        <v>0</v>
      </c>
      <c r="AA35" s="99">
        <f>'Stratified Scenario Model'!AB61</f>
        <v>2218</v>
      </c>
      <c r="AB35" s="99">
        <f>'Stratified Scenario Model'!AC61</f>
        <v>25.985531752667882</v>
      </c>
      <c r="AC35" s="99">
        <f>'Stratified Scenario Model'!AD61</f>
        <v>115897</v>
      </c>
      <c r="AD35" s="99">
        <f>'Stratified Scenario Model'!AE61</f>
        <v>0</v>
      </c>
      <c r="AE35" s="99">
        <f>'Stratified Scenario Model'!AF61</f>
        <v>115897</v>
      </c>
      <c r="AF35" s="99">
        <f>'Stratified Scenario Model'!AG61</f>
        <v>1357.820186446776</v>
      </c>
    </row>
    <row r="36" spans="1:32" ht="30" x14ac:dyDescent="0.25">
      <c r="A36" s="63" t="s">
        <v>234</v>
      </c>
      <c r="B36" s="23" t="s">
        <v>224</v>
      </c>
      <c r="C36" s="26">
        <v>7614893</v>
      </c>
      <c r="D36" s="99">
        <f>'Stratified Scenario Model'!E63</f>
        <v>0</v>
      </c>
      <c r="E36" s="99">
        <f>'Stratified Scenario Model'!F63</f>
        <v>-30</v>
      </c>
      <c r="F36" s="99">
        <f>'Stratified Scenario Model'!G63</f>
        <v>30</v>
      </c>
      <c r="G36" s="99">
        <f>'Stratified Scenario Model'!H63</f>
        <v>1.0123604741529799</v>
      </c>
      <c r="H36" s="99">
        <f>'Stratified Scenario Model'!I63</f>
        <v>1.0123604741529799</v>
      </c>
      <c r="I36" s="99">
        <f>'Stratified Scenario Model'!J63</f>
        <v>0</v>
      </c>
      <c r="J36" s="99">
        <f>'Stratified Scenario Model'!K63</f>
        <v>35</v>
      </c>
      <c r="K36" s="99">
        <f>'Stratified Scenario Model'!L63</f>
        <v>20.170572207084469</v>
      </c>
      <c r="L36" s="99">
        <f>'Stratified Scenario Model'!M63</f>
        <v>5538</v>
      </c>
      <c r="M36" s="99">
        <f>'Stratified Scenario Model'!N63</f>
        <v>0</v>
      </c>
      <c r="N36" s="99">
        <f>'Stratified Scenario Model'!O63</f>
        <v>5538</v>
      </c>
      <c r="O36" s="99">
        <f>'Stratified Scenario Model'!P63</f>
        <v>72.725906982540664</v>
      </c>
      <c r="P36" s="99">
        <f>'Stratified Scenario Model'!Q63</f>
        <v>6.227159771963163E-2</v>
      </c>
      <c r="Q36" s="99">
        <f>'Stratified Scenario Model'!R63</f>
        <v>0</v>
      </c>
      <c r="R36" s="99">
        <f>'Stratified Scenario Model'!S63</f>
        <v>6.227159771963163E-2</v>
      </c>
      <c r="S36" s="99">
        <f>'Stratified Scenario Model'!T63</f>
        <v>25</v>
      </c>
      <c r="T36" s="99">
        <f>'Stratified Scenario Model'!U63</f>
        <v>60</v>
      </c>
      <c r="U36" s="99">
        <f>'Stratified Scenario Model'!V63</f>
        <v>95</v>
      </c>
      <c r="V36" s="99">
        <f>'Stratified Scenario Model'!W63</f>
        <v>0</v>
      </c>
      <c r="W36" s="99">
        <f>'Stratified Scenario Model'!X63</f>
        <v>95</v>
      </c>
      <c r="X36" s="99">
        <f>'Stratified Scenario Model'!Y63</f>
        <v>1.2475552840991988</v>
      </c>
      <c r="Y36" s="99">
        <f>'Stratified Scenario Model'!Z63</f>
        <v>57</v>
      </c>
      <c r="Z36" s="99">
        <f>'Stratified Scenario Model'!AA63</f>
        <v>0</v>
      </c>
      <c r="AA36" s="99">
        <f>'Stratified Scenario Model'!AB63</f>
        <v>57</v>
      </c>
      <c r="AB36" s="99">
        <f>'Stratified Scenario Model'!AC63</f>
        <v>0.74853317045951917</v>
      </c>
      <c r="AC36" s="99">
        <f>'Stratified Scenario Model'!AD63</f>
        <v>88933</v>
      </c>
      <c r="AD36" s="99">
        <f>'Stratified Scenario Model'!AE63</f>
        <v>0</v>
      </c>
      <c r="AE36" s="99">
        <f>'Stratified Scenario Model'!AF63</f>
        <v>88933</v>
      </c>
      <c r="AF36" s="99">
        <f>'Stratified Scenario Model'!AG63</f>
        <v>1167.8824640083585</v>
      </c>
    </row>
    <row r="37" spans="1:32" ht="120" x14ac:dyDescent="0.25">
      <c r="A37" s="63" t="s">
        <v>189</v>
      </c>
      <c r="B37" s="23" t="s">
        <v>39</v>
      </c>
      <c r="C37" s="26">
        <v>5822434</v>
      </c>
      <c r="D37" s="99">
        <f>'Stratified Scenario Model'!E64</f>
        <v>0</v>
      </c>
      <c r="E37" s="99">
        <f>'Stratified Scenario Model'!F64</f>
        <v>-26</v>
      </c>
      <c r="F37" s="99">
        <f>'Stratified Scenario Model'!G64</f>
        <v>26</v>
      </c>
      <c r="G37" s="99">
        <f>'Stratified Scenario Model'!H64</f>
        <v>0.98550338885058697</v>
      </c>
      <c r="H37" s="99">
        <f>'Stratified Scenario Model'!I64</f>
        <v>0.98550338885058697</v>
      </c>
      <c r="I37" s="99">
        <f>'Stratified Scenario Model'!J64</f>
        <v>0</v>
      </c>
      <c r="J37" s="99">
        <f>'Stratified Scenario Model'!K64</f>
        <v>15</v>
      </c>
      <c r="K37" s="99">
        <f>'Stratified Scenario Model'!L64</f>
        <v>11.013130029648455</v>
      </c>
      <c r="L37" s="99">
        <f>'Stratified Scenario Model'!M64</f>
        <v>6120</v>
      </c>
      <c r="M37" s="99">
        <f>'Stratified Scenario Model'!N64</f>
        <v>0</v>
      </c>
      <c r="N37" s="99">
        <f>'Stratified Scenario Model'!O64</f>
        <v>6120</v>
      </c>
      <c r="O37" s="99">
        <f>'Stratified Scenario Model'!P64</f>
        <v>105.11068051608657</v>
      </c>
      <c r="P37" s="99">
        <f>'Stratified Scenario Model'!Q64</f>
        <v>6.5349706353443671E-2</v>
      </c>
      <c r="Q37" s="99">
        <f>'Stratified Scenario Model'!R64</f>
        <v>0</v>
      </c>
      <c r="R37" s="99">
        <f>'Stratified Scenario Model'!S64</f>
        <v>6.5349706353443671E-2</v>
      </c>
      <c r="S37" s="99">
        <f>'Stratified Scenario Model'!T64</f>
        <v>25</v>
      </c>
      <c r="T37" s="99">
        <f>'Stratified Scenario Model'!U64</f>
        <v>40</v>
      </c>
      <c r="U37" s="99">
        <f>'Stratified Scenario Model'!V64</f>
        <v>56</v>
      </c>
      <c r="V37" s="99">
        <f>'Stratified Scenario Model'!W64</f>
        <v>0</v>
      </c>
      <c r="W37" s="99">
        <f>'Stratified Scenario Model'!X64</f>
        <v>56</v>
      </c>
      <c r="X37" s="99">
        <f>'Stratified Scenario Model'!Y64</f>
        <v>0.96179707661778568</v>
      </c>
      <c r="Y37" s="99">
        <f>'Stratified Scenario Model'!Z64</f>
        <v>1596</v>
      </c>
      <c r="Z37" s="99">
        <f>'Stratified Scenario Model'!AA64</f>
        <v>0</v>
      </c>
      <c r="AA37" s="99">
        <f>'Stratified Scenario Model'!AB64</f>
        <v>1596</v>
      </c>
      <c r="AB37" s="99">
        <f>'Stratified Scenario Model'!AC64</f>
        <v>27.411216683606892</v>
      </c>
      <c r="AC37" s="99">
        <f>'Stratified Scenario Model'!AD64</f>
        <v>93650</v>
      </c>
      <c r="AD37" s="99">
        <f>'Stratified Scenario Model'!AE64</f>
        <v>0</v>
      </c>
      <c r="AE37" s="99">
        <f>'Stratified Scenario Model'!AF64</f>
        <v>93650</v>
      </c>
      <c r="AF37" s="99">
        <f>'Stratified Scenario Model'!AG64</f>
        <v>1608.433861165279</v>
      </c>
    </row>
    <row r="40" spans="1:32" x14ac:dyDescent="0.25">
      <c r="D40" s="83">
        <f>AVERAGE(D16:D37)</f>
        <v>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
  <dimension ref="A1:M52"/>
  <sheetViews>
    <sheetView topLeftCell="A16" workbookViewId="0">
      <selection activeCell="M2" sqref="M2:M52"/>
    </sheetView>
  </sheetViews>
  <sheetFormatPr defaultRowHeight="15" x14ac:dyDescent="0.25"/>
  <cols>
    <col min="13" max="13" width="21.42578125" customWidth="1"/>
  </cols>
  <sheetData>
    <row r="1" spans="1:13" ht="38.25" x14ac:dyDescent="0.25">
      <c r="A1" s="15" t="s">
        <v>79</v>
      </c>
      <c r="B1" s="59" t="s">
        <v>72</v>
      </c>
      <c r="C1" s="59" t="s">
        <v>73</v>
      </c>
      <c r="D1" s="59">
        <v>2010</v>
      </c>
      <c r="E1" s="59">
        <v>2011</v>
      </c>
      <c r="F1" s="59">
        <v>2012</v>
      </c>
      <c r="G1" s="59">
        <v>2013</v>
      </c>
      <c r="H1" s="59">
        <v>2014</v>
      </c>
      <c r="I1" s="59">
        <v>2015</v>
      </c>
      <c r="J1" s="59">
        <v>2016</v>
      </c>
      <c r="K1" s="59">
        <v>2017</v>
      </c>
      <c r="L1" s="59">
        <v>2018</v>
      </c>
      <c r="M1" s="59">
        <v>2019</v>
      </c>
    </row>
    <row r="2" spans="1:13" x14ac:dyDescent="0.25">
      <c r="A2" s="17" t="s">
        <v>62</v>
      </c>
      <c r="B2" s="2">
        <v>710231</v>
      </c>
      <c r="C2" s="2">
        <v>710249</v>
      </c>
      <c r="D2" s="2">
        <v>713910</v>
      </c>
      <c r="E2" s="2">
        <v>722128</v>
      </c>
      <c r="F2" s="2">
        <v>730443</v>
      </c>
      <c r="G2" s="2">
        <v>737068</v>
      </c>
      <c r="H2" s="2">
        <v>736283</v>
      </c>
      <c r="I2" s="2">
        <v>737498</v>
      </c>
      <c r="J2" s="2">
        <v>741456</v>
      </c>
      <c r="K2" s="2">
        <v>739700</v>
      </c>
      <c r="L2" s="2">
        <v>735139</v>
      </c>
      <c r="M2" s="2">
        <v>731545</v>
      </c>
    </row>
    <row r="3" spans="1:13" x14ac:dyDescent="0.25">
      <c r="A3" s="17" t="s">
        <v>40</v>
      </c>
      <c r="B3" s="2">
        <v>4779736</v>
      </c>
      <c r="C3" s="2">
        <v>4780125</v>
      </c>
      <c r="D3" s="2">
        <v>4785437</v>
      </c>
      <c r="E3" s="2">
        <v>4799069</v>
      </c>
      <c r="F3" s="2">
        <v>4815588</v>
      </c>
      <c r="G3" s="2">
        <v>4830081</v>
      </c>
      <c r="H3" s="2">
        <v>4841799</v>
      </c>
      <c r="I3" s="2">
        <v>4852347</v>
      </c>
      <c r="J3" s="2">
        <v>4863525</v>
      </c>
      <c r="K3" s="2">
        <v>4874486</v>
      </c>
      <c r="L3" s="2">
        <v>4887681</v>
      </c>
      <c r="M3" s="2">
        <v>4903185</v>
      </c>
    </row>
    <row r="4" spans="1:13" x14ac:dyDescent="0.25">
      <c r="A4" s="17" t="s">
        <v>41</v>
      </c>
      <c r="B4" s="2">
        <v>2915918</v>
      </c>
      <c r="C4" s="2">
        <v>2916031</v>
      </c>
      <c r="D4" s="2">
        <v>2921964</v>
      </c>
      <c r="E4" s="2">
        <v>2940667</v>
      </c>
      <c r="F4" s="2">
        <v>2952164</v>
      </c>
      <c r="G4" s="2">
        <v>2959400</v>
      </c>
      <c r="H4" s="2">
        <v>2967392</v>
      </c>
      <c r="I4" s="2">
        <v>2978048</v>
      </c>
      <c r="J4" s="2">
        <v>2989918</v>
      </c>
      <c r="K4" s="2">
        <v>3001345</v>
      </c>
      <c r="L4" s="2">
        <v>3009733</v>
      </c>
      <c r="M4" s="2">
        <v>3017804</v>
      </c>
    </row>
    <row r="5" spans="1:13" x14ac:dyDescent="0.25">
      <c r="A5" s="17" t="s">
        <v>42</v>
      </c>
      <c r="B5" s="2">
        <v>6392017</v>
      </c>
      <c r="C5" s="2">
        <v>6392288</v>
      </c>
      <c r="D5" s="2">
        <v>6407172</v>
      </c>
      <c r="E5" s="2">
        <v>6472643</v>
      </c>
      <c r="F5" s="2">
        <v>6554978</v>
      </c>
      <c r="G5" s="2">
        <v>6632764</v>
      </c>
      <c r="H5" s="2">
        <v>6730413</v>
      </c>
      <c r="I5" s="2">
        <v>6829676</v>
      </c>
      <c r="J5" s="2">
        <v>6941072</v>
      </c>
      <c r="K5" s="2">
        <v>7044008</v>
      </c>
      <c r="L5" s="2">
        <v>7158024</v>
      </c>
      <c r="M5" s="2">
        <v>7278717</v>
      </c>
    </row>
    <row r="6" spans="1:13" x14ac:dyDescent="0.25">
      <c r="A6" s="17" t="s">
        <v>18</v>
      </c>
      <c r="B6" s="2">
        <v>37253956</v>
      </c>
      <c r="C6" s="2">
        <v>37254519</v>
      </c>
      <c r="D6" s="2">
        <v>37319502</v>
      </c>
      <c r="E6" s="2">
        <v>37638369</v>
      </c>
      <c r="F6" s="2">
        <v>37948800</v>
      </c>
      <c r="G6" s="2">
        <v>38260787</v>
      </c>
      <c r="H6" s="2">
        <v>38596972</v>
      </c>
      <c r="I6" s="2">
        <v>38918045</v>
      </c>
      <c r="J6" s="2">
        <v>39167117</v>
      </c>
      <c r="K6" s="2">
        <v>39358497</v>
      </c>
      <c r="L6" s="2">
        <v>39461588</v>
      </c>
      <c r="M6" s="2">
        <v>39512223</v>
      </c>
    </row>
    <row r="7" spans="1:13" x14ac:dyDescent="0.25">
      <c r="A7" s="17" t="s">
        <v>43</v>
      </c>
      <c r="B7" s="2">
        <v>5029196</v>
      </c>
      <c r="C7" s="2">
        <v>5029319</v>
      </c>
      <c r="D7" s="2">
        <v>5047349</v>
      </c>
      <c r="E7" s="2">
        <v>5121108</v>
      </c>
      <c r="F7" s="2">
        <v>5192647</v>
      </c>
      <c r="G7" s="2">
        <v>5269035</v>
      </c>
      <c r="H7" s="2">
        <v>5350101</v>
      </c>
      <c r="I7" s="2">
        <v>5450623</v>
      </c>
      <c r="J7" s="2">
        <v>5539215</v>
      </c>
      <c r="K7" s="2">
        <v>5611885</v>
      </c>
      <c r="L7" s="2">
        <v>5691287</v>
      </c>
      <c r="M7" s="2">
        <v>5758736</v>
      </c>
    </row>
    <row r="8" spans="1:13" x14ac:dyDescent="0.25">
      <c r="A8" s="17" t="s">
        <v>19</v>
      </c>
      <c r="B8" s="2">
        <v>3574097</v>
      </c>
      <c r="C8" s="2">
        <v>3574147</v>
      </c>
      <c r="D8" s="2">
        <v>3579114</v>
      </c>
      <c r="E8" s="2">
        <v>3588283</v>
      </c>
      <c r="F8" s="2">
        <v>3594547</v>
      </c>
      <c r="G8" s="2">
        <v>3594841</v>
      </c>
      <c r="H8" s="2">
        <v>3594524</v>
      </c>
      <c r="I8" s="2">
        <v>3587122</v>
      </c>
      <c r="J8" s="2">
        <v>3578141</v>
      </c>
      <c r="K8" s="2">
        <v>3573297</v>
      </c>
      <c r="L8" s="2">
        <v>3571520</v>
      </c>
      <c r="M8" s="2">
        <v>3565287</v>
      </c>
    </row>
    <row r="9" spans="1:13" x14ac:dyDescent="0.25">
      <c r="A9" s="17" t="s">
        <v>20</v>
      </c>
      <c r="B9" s="2">
        <v>601723</v>
      </c>
      <c r="C9" s="2">
        <v>601767</v>
      </c>
      <c r="D9" s="2">
        <v>605226</v>
      </c>
      <c r="E9" s="2">
        <v>619800</v>
      </c>
      <c r="F9" s="2">
        <v>634924</v>
      </c>
      <c r="G9" s="2">
        <v>650581</v>
      </c>
      <c r="H9" s="2">
        <v>662328</v>
      </c>
      <c r="I9" s="2">
        <v>675400</v>
      </c>
      <c r="J9" s="2">
        <v>685815</v>
      </c>
      <c r="K9" s="2">
        <v>694906</v>
      </c>
      <c r="L9" s="2">
        <v>701547</v>
      </c>
      <c r="M9" s="2">
        <v>705749</v>
      </c>
    </row>
    <row r="10" spans="1:13" x14ac:dyDescent="0.25">
      <c r="A10" s="17" t="s">
        <v>21</v>
      </c>
      <c r="B10" s="2">
        <v>897934</v>
      </c>
      <c r="C10" s="2">
        <v>897937</v>
      </c>
      <c r="D10" s="2">
        <v>899593</v>
      </c>
      <c r="E10" s="2">
        <v>907381</v>
      </c>
      <c r="F10" s="2">
        <v>915179</v>
      </c>
      <c r="G10" s="2">
        <v>923576</v>
      </c>
      <c r="H10" s="2">
        <v>932487</v>
      </c>
      <c r="I10" s="2">
        <v>941252</v>
      </c>
      <c r="J10" s="2">
        <v>948921</v>
      </c>
      <c r="K10" s="2">
        <v>956823</v>
      </c>
      <c r="L10" s="2">
        <v>965479</v>
      </c>
      <c r="M10" s="2">
        <v>973764</v>
      </c>
    </row>
    <row r="11" spans="1:13" x14ac:dyDescent="0.25">
      <c r="A11" s="17" t="s">
        <v>44</v>
      </c>
      <c r="B11" s="2">
        <v>18801310</v>
      </c>
      <c r="C11" s="2">
        <v>18804564</v>
      </c>
      <c r="D11" s="2">
        <v>18845537</v>
      </c>
      <c r="E11" s="2">
        <v>19053237</v>
      </c>
      <c r="F11" s="2">
        <v>19297822</v>
      </c>
      <c r="G11" s="2">
        <v>19545621</v>
      </c>
      <c r="H11" s="2">
        <v>19845911</v>
      </c>
      <c r="I11" s="2">
        <v>20209042</v>
      </c>
      <c r="J11" s="2">
        <v>20613477</v>
      </c>
      <c r="K11" s="2">
        <v>20963613</v>
      </c>
      <c r="L11" s="2">
        <v>21244317</v>
      </c>
      <c r="M11" s="2">
        <v>21477737</v>
      </c>
    </row>
    <row r="12" spans="1:13" x14ac:dyDescent="0.25">
      <c r="A12" s="17" t="s">
        <v>45</v>
      </c>
      <c r="B12" s="2">
        <v>9687653</v>
      </c>
      <c r="C12" s="2">
        <v>9688729</v>
      </c>
      <c r="D12" s="2">
        <v>9711881</v>
      </c>
      <c r="E12" s="2">
        <v>9802431</v>
      </c>
      <c r="F12" s="2">
        <v>9901430</v>
      </c>
      <c r="G12" s="2">
        <v>9972479</v>
      </c>
      <c r="H12" s="2">
        <v>10067278</v>
      </c>
      <c r="I12" s="2">
        <v>10178447</v>
      </c>
      <c r="J12" s="2">
        <v>10301890</v>
      </c>
      <c r="K12" s="2">
        <v>10410330</v>
      </c>
      <c r="L12" s="2">
        <v>10511131</v>
      </c>
      <c r="M12" s="2">
        <v>10617423</v>
      </c>
    </row>
    <row r="13" spans="1:13" x14ac:dyDescent="0.25">
      <c r="A13" s="17" t="s">
        <v>22</v>
      </c>
      <c r="B13" s="2">
        <v>1360301</v>
      </c>
      <c r="C13" s="2">
        <v>1360307</v>
      </c>
      <c r="D13" s="2">
        <v>1363963</v>
      </c>
      <c r="E13" s="2">
        <v>1379329</v>
      </c>
      <c r="F13" s="2">
        <v>1394804</v>
      </c>
      <c r="G13" s="2">
        <v>1408243</v>
      </c>
      <c r="H13" s="2">
        <v>1414538</v>
      </c>
      <c r="I13" s="2">
        <v>1422052</v>
      </c>
      <c r="J13" s="2">
        <v>1427559</v>
      </c>
      <c r="K13" s="2">
        <v>1424393</v>
      </c>
      <c r="L13" s="2">
        <v>1420593</v>
      </c>
      <c r="M13" s="2">
        <v>1415872</v>
      </c>
    </row>
    <row r="14" spans="1:13" x14ac:dyDescent="0.25">
      <c r="A14" s="17" t="s">
        <v>46</v>
      </c>
      <c r="B14" s="2">
        <v>3046355</v>
      </c>
      <c r="C14" s="2">
        <v>3046871</v>
      </c>
      <c r="D14" s="2">
        <v>3050745</v>
      </c>
      <c r="E14" s="2">
        <v>3066336</v>
      </c>
      <c r="F14" s="2">
        <v>3076190</v>
      </c>
      <c r="G14" s="2">
        <v>3092997</v>
      </c>
      <c r="H14" s="2">
        <v>3109350</v>
      </c>
      <c r="I14" s="2">
        <v>3120960</v>
      </c>
      <c r="J14" s="2">
        <v>3131371</v>
      </c>
      <c r="K14" s="2">
        <v>3141550</v>
      </c>
      <c r="L14" s="2">
        <v>3148618</v>
      </c>
      <c r="M14" s="2">
        <v>3155070</v>
      </c>
    </row>
    <row r="15" spans="1:13" x14ac:dyDescent="0.25">
      <c r="A15" s="17" t="s">
        <v>47</v>
      </c>
      <c r="B15" s="2">
        <v>1567582</v>
      </c>
      <c r="C15" s="2">
        <v>1567657</v>
      </c>
      <c r="D15" s="2">
        <v>1570746</v>
      </c>
      <c r="E15" s="2">
        <v>1583910</v>
      </c>
      <c r="F15" s="2">
        <v>1595324</v>
      </c>
      <c r="G15" s="2">
        <v>1611206</v>
      </c>
      <c r="H15" s="2">
        <v>1631112</v>
      </c>
      <c r="I15" s="2">
        <v>1651059</v>
      </c>
      <c r="J15" s="2">
        <v>1682380</v>
      </c>
      <c r="K15" s="2">
        <v>1717715</v>
      </c>
      <c r="L15" s="2">
        <v>1750536</v>
      </c>
      <c r="M15" s="2">
        <v>1787065</v>
      </c>
    </row>
    <row r="16" spans="1:13" x14ac:dyDescent="0.25">
      <c r="A16" s="17" t="s">
        <v>48</v>
      </c>
      <c r="B16" s="2">
        <v>12830632</v>
      </c>
      <c r="C16" s="2">
        <v>12831572</v>
      </c>
      <c r="D16" s="2">
        <v>12840503</v>
      </c>
      <c r="E16" s="2">
        <v>12867454</v>
      </c>
      <c r="F16" s="2">
        <v>12882510</v>
      </c>
      <c r="G16" s="2">
        <v>12895129</v>
      </c>
      <c r="H16" s="2">
        <v>12884493</v>
      </c>
      <c r="I16" s="2">
        <v>12858913</v>
      </c>
      <c r="J16" s="2">
        <v>12820527</v>
      </c>
      <c r="K16" s="2">
        <v>12778828</v>
      </c>
      <c r="L16" s="2">
        <v>12723071</v>
      </c>
      <c r="M16" s="2">
        <v>12671821</v>
      </c>
    </row>
    <row r="17" spans="1:13" x14ac:dyDescent="0.25">
      <c r="A17" s="17" t="s">
        <v>49</v>
      </c>
      <c r="B17" s="2">
        <v>6483802</v>
      </c>
      <c r="C17" s="2">
        <v>6484051</v>
      </c>
      <c r="D17" s="2">
        <v>6490432</v>
      </c>
      <c r="E17" s="2">
        <v>6516528</v>
      </c>
      <c r="F17" s="2">
        <v>6537703</v>
      </c>
      <c r="G17" s="2">
        <v>6568713</v>
      </c>
      <c r="H17" s="2">
        <v>6593644</v>
      </c>
      <c r="I17" s="2">
        <v>6608422</v>
      </c>
      <c r="J17" s="2">
        <v>6634304</v>
      </c>
      <c r="K17" s="2">
        <v>6658078</v>
      </c>
      <c r="L17" s="2">
        <v>6695497</v>
      </c>
      <c r="M17" s="2">
        <v>6732219</v>
      </c>
    </row>
    <row r="18" spans="1:13" x14ac:dyDescent="0.25">
      <c r="A18" s="17" t="s">
        <v>50</v>
      </c>
      <c r="B18" s="2">
        <v>2853118</v>
      </c>
      <c r="C18" s="2">
        <v>2853123</v>
      </c>
      <c r="D18" s="2">
        <v>2858190</v>
      </c>
      <c r="E18" s="2">
        <v>2869225</v>
      </c>
      <c r="F18" s="2">
        <v>2885257</v>
      </c>
      <c r="G18" s="2">
        <v>2893212</v>
      </c>
      <c r="H18" s="2">
        <v>2900475</v>
      </c>
      <c r="I18" s="2">
        <v>2909011</v>
      </c>
      <c r="J18" s="2">
        <v>2910844</v>
      </c>
      <c r="K18" s="2">
        <v>2908718</v>
      </c>
      <c r="L18" s="2">
        <v>2911359</v>
      </c>
      <c r="M18" s="2">
        <v>2913314</v>
      </c>
    </row>
    <row r="19" spans="1:13" x14ac:dyDescent="0.25">
      <c r="A19" s="17" t="s">
        <v>23</v>
      </c>
      <c r="B19" s="2">
        <v>4339367</v>
      </c>
      <c r="C19" s="2">
        <v>4339333</v>
      </c>
      <c r="D19" s="2">
        <v>4348181</v>
      </c>
      <c r="E19" s="2">
        <v>4369821</v>
      </c>
      <c r="F19" s="2">
        <v>4386346</v>
      </c>
      <c r="G19" s="2">
        <v>4404659</v>
      </c>
      <c r="H19" s="2">
        <v>4414349</v>
      </c>
      <c r="I19" s="2">
        <v>4425976</v>
      </c>
      <c r="J19" s="2">
        <v>4438182</v>
      </c>
      <c r="K19" s="2">
        <v>4452268</v>
      </c>
      <c r="L19" s="2">
        <v>4461153</v>
      </c>
      <c r="M19" s="2">
        <v>4467673</v>
      </c>
    </row>
    <row r="20" spans="1:13" x14ac:dyDescent="0.25">
      <c r="A20" s="17" t="s">
        <v>51</v>
      </c>
      <c r="B20" s="2">
        <v>4533372</v>
      </c>
      <c r="C20" s="2">
        <v>4533487</v>
      </c>
      <c r="D20" s="2">
        <v>4544532</v>
      </c>
      <c r="E20" s="2">
        <v>4575625</v>
      </c>
      <c r="F20" s="2">
        <v>4600972</v>
      </c>
      <c r="G20" s="2">
        <v>4624527</v>
      </c>
      <c r="H20" s="2">
        <v>4644013</v>
      </c>
      <c r="I20" s="2">
        <v>4664628</v>
      </c>
      <c r="J20" s="2">
        <v>4678135</v>
      </c>
      <c r="K20" s="2">
        <v>4670560</v>
      </c>
      <c r="L20" s="2">
        <v>4659690</v>
      </c>
      <c r="M20" s="2">
        <v>4648794</v>
      </c>
    </row>
    <row r="21" spans="1:13" x14ac:dyDescent="0.25">
      <c r="A21" s="17" t="s">
        <v>24</v>
      </c>
      <c r="B21" s="2">
        <v>6547629</v>
      </c>
      <c r="C21" s="2">
        <v>6547785</v>
      </c>
      <c r="D21" s="2">
        <v>6566307</v>
      </c>
      <c r="E21" s="2">
        <v>6613583</v>
      </c>
      <c r="F21" s="2">
        <v>6663005</v>
      </c>
      <c r="G21" s="2">
        <v>6713315</v>
      </c>
      <c r="H21" s="2">
        <v>6762596</v>
      </c>
      <c r="I21" s="2">
        <v>6794228</v>
      </c>
      <c r="J21" s="2">
        <v>6823608</v>
      </c>
      <c r="K21" s="2">
        <v>6859789</v>
      </c>
      <c r="L21" s="2">
        <v>6882635</v>
      </c>
      <c r="M21" s="2">
        <v>6892503</v>
      </c>
    </row>
    <row r="22" spans="1:13" x14ac:dyDescent="0.25">
      <c r="A22" s="17" t="s">
        <v>25</v>
      </c>
      <c r="B22" s="2">
        <v>5773552</v>
      </c>
      <c r="C22" s="2">
        <v>5773794</v>
      </c>
      <c r="D22" s="2">
        <v>5788645</v>
      </c>
      <c r="E22" s="2">
        <v>5839419</v>
      </c>
      <c r="F22" s="2">
        <v>5886992</v>
      </c>
      <c r="G22" s="2">
        <v>5923188</v>
      </c>
      <c r="H22" s="2">
        <v>5957283</v>
      </c>
      <c r="I22" s="2">
        <v>5985562</v>
      </c>
      <c r="J22" s="2">
        <v>6003323</v>
      </c>
      <c r="K22" s="2">
        <v>6023868</v>
      </c>
      <c r="L22" s="2">
        <v>6035802</v>
      </c>
      <c r="M22" s="2">
        <v>6045680</v>
      </c>
    </row>
    <row r="23" spans="1:13" x14ac:dyDescent="0.25">
      <c r="A23" s="17" t="s">
        <v>52</v>
      </c>
      <c r="B23" s="2">
        <v>1328361</v>
      </c>
      <c r="C23" s="2">
        <v>1328358</v>
      </c>
      <c r="D23" s="2">
        <v>1327629</v>
      </c>
      <c r="E23" s="2">
        <v>1328284</v>
      </c>
      <c r="F23" s="2">
        <v>1327729</v>
      </c>
      <c r="G23" s="2">
        <v>1328009</v>
      </c>
      <c r="H23" s="2">
        <v>1330513</v>
      </c>
      <c r="I23" s="2">
        <v>1328262</v>
      </c>
      <c r="J23" s="2">
        <v>1331317</v>
      </c>
      <c r="K23" s="2">
        <v>1334612</v>
      </c>
      <c r="L23" s="2">
        <v>1339057</v>
      </c>
      <c r="M23" s="2">
        <v>1344212</v>
      </c>
    </row>
    <row r="24" spans="1:13" x14ac:dyDescent="0.25">
      <c r="A24" s="17" t="s">
        <v>26</v>
      </c>
      <c r="B24" s="2">
        <v>9883640</v>
      </c>
      <c r="C24" s="2">
        <v>9884116</v>
      </c>
      <c r="D24" s="2">
        <v>9877510</v>
      </c>
      <c r="E24" s="2">
        <v>9882412</v>
      </c>
      <c r="F24" s="2">
        <v>9897145</v>
      </c>
      <c r="G24" s="2">
        <v>9913065</v>
      </c>
      <c r="H24" s="2">
        <v>9929848</v>
      </c>
      <c r="I24" s="2">
        <v>9931715</v>
      </c>
      <c r="J24" s="2">
        <v>9950571</v>
      </c>
      <c r="K24" s="2">
        <v>9973114</v>
      </c>
      <c r="L24" s="2">
        <v>9984072</v>
      </c>
      <c r="M24" s="2">
        <v>9986857</v>
      </c>
    </row>
    <row r="25" spans="1:13" x14ac:dyDescent="0.25">
      <c r="A25" s="17" t="s">
        <v>63</v>
      </c>
      <c r="B25" s="2">
        <v>5303925</v>
      </c>
      <c r="C25" s="2">
        <v>5303927</v>
      </c>
      <c r="D25" s="2">
        <v>5310828</v>
      </c>
      <c r="E25" s="2">
        <v>5346143</v>
      </c>
      <c r="F25" s="2">
        <v>5376643</v>
      </c>
      <c r="G25" s="2">
        <v>5413479</v>
      </c>
      <c r="H25" s="2">
        <v>5451079</v>
      </c>
      <c r="I25" s="2">
        <v>5482032</v>
      </c>
      <c r="J25" s="2">
        <v>5522744</v>
      </c>
      <c r="K25" s="2">
        <v>5566230</v>
      </c>
      <c r="L25" s="2">
        <v>5606249</v>
      </c>
      <c r="M25" s="2">
        <v>5639632</v>
      </c>
    </row>
    <row r="26" spans="1:13" x14ac:dyDescent="0.25">
      <c r="A26" s="17" t="s">
        <v>53</v>
      </c>
      <c r="B26" s="2">
        <v>5988927</v>
      </c>
      <c r="C26" s="2">
        <v>5988950</v>
      </c>
      <c r="D26" s="2">
        <v>5995974</v>
      </c>
      <c r="E26" s="2">
        <v>6010275</v>
      </c>
      <c r="F26" s="2">
        <v>6024367</v>
      </c>
      <c r="G26" s="2">
        <v>6040715</v>
      </c>
      <c r="H26" s="2">
        <v>6056202</v>
      </c>
      <c r="I26" s="2">
        <v>6071732</v>
      </c>
      <c r="J26" s="2">
        <v>6087135</v>
      </c>
      <c r="K26" s="2">
        <v>6106670</v>
      </c>
      <c r="L26" s="2">
        <v>6121623</v>
      </c>
      <c r="M26" s="2">
        <v>6137428</v>
      </c>
    </row>
    <row r="27" spans="1:13" x14ac:dyDescent="0.25">
      <c r="A27" s="17" t="s">
        <v>54</v>
      </c>
      <c r="B27" s="2">
        <v>2967297</v>
      </c>
      <c r="C27" s="2">
        <v>2968130</v>
      </c>
      <c r="D27" s="2">
        <v>2970548</v>
      </c>
      <c r="E27" s="2">
        <v>2978731</v>
      </c>
      <c r="F27" s="2">
        <v>2983816</v>
      </c>
      <c r="G27" s="2">
        <v>2988711</v>
      </c>
      <c r="H27" s="2">
        <v>2990468</v>
      </c>
      <c r="I27" s="2">
        <v>2988471</v>
      </c>
      <c r="J27" s="2">
        <v>2987938</v>
      </c>
      <c r="K27" s="2">
        <v>2988510</v>
      </c>
      <c r="L27" s="2">
        <v>2981020</v>
      </c>
      <c r="M27" s="2">
        <v>2976149</v>
      </c>
    </row>
    <row r="28" spans="1:13" x14ac:dyDescent="0.25">
      <c r="A28" s="17" t="s">
        <v>64</v>
      </c>
      <c r="B28" s="2">
        <v>989415</v>
      </c>
      <c r="C28" s="2">
        <v>989407</v>
      </c>
      <c r="D28" s="2">
        <v>990697</v>
      </c>
      <c r="E28" s="2">
        <v>997316</v>
      </c>
      <c r="F28" s="2">
        <v>1003783</v>
      </c>
      <c r="G28" s="2">
        <v>1013569</v>
      </c>
      <c r="H28" s="2">
        <v>1021869</v>
      </c>
      <c r="I28" s="2">
        <v>1030475</v>
      </c>
      <c r="J28" s="2">
        <v>1040859</v>
      </c>
      <c r="K28" s="2">
        <v>1052482</v>
      </c>
      <c r="L28" s="2">
        <v>1060665</v>
      </c>
      <c r="M28" s="2">
        <v>1068778</v>
      </c>
    </row>
    <row r="29" spans="1:13" x14ac:dyDescent="0.25">
      <c r="A29" s="17" t="s">
        <v>27</v>
      </c>
      <c r="B29" s="2">
        <v>9535483</v>
      </c>
      <c r="C29" s="2">
        <v>9535751</v>
      </c>
      <c r="D29" s="2">
        <v>9574323</v>
      </c>
      <c r="E29" s="2">
        <v>9657592</v>
      </c>
      <c r="F29" s="2">
        <v>9749476</v>
      </c>
      <c r="G29" s="2">
        <v>9843336</v>
      </c>
      <c r="H29" s="2">
        <v>9932887</v>
      </c>
      <c r="I29" s="2">
        <v>10031646</v>
      </c>
      <c r="J29" s="2">
        <v>10154788</v>
      </c>
      <c r="K29" s="2">
        <v>10268233</v>
      </c>
      <c r="L29" s="2">
        <v>10381615</v>
      </c>
      <c r="M29" s="2">
        <v>10488084</v>
      </c>
    </row>
    <row r="30" spans="1:13" x14ac:dyDescent="0.25">
      <c r="A30" s="17" t="s">
        <v>65</v>
      </c>
      <c r="B30" s="2">
        <v>672591</v>
      </c>
      <c r="C30" s="2">
        <v>672576</v>
      </c>
      <c r="D30" s="2">
        <v>674715</v>
      </c>
      <c r="E30" s="2">
        <v>685225</v>
      </c>
      <c r="F30" s="2">
        <v>701176</v>
      </c>
      <c r="G30" s="2">
        <v>722036</v>
      </c>
      <c r="H30" s="2">
        <v>737401</v>
      </c>
      <c r="I30" s="2">
        <v>754066</v>
      </c>
      <c r="J30" s="2">
        <v>754434</v>
      </c>
      <c r="K30" s="2">
        <v>754942</v>
      </c>
      <c r="L30" s="2">
        <v>758080</v>
      </c>
      <c r="M30" s="2">
        <v>762062</v>
      </c>
    </row>
    <row r="31" spans="1:13" x14ac:dyDescent="0.25">
      <c r="A31" s="17" t="s">
        <v>55</v>
      </c>
      <c r="B31" s="2">
        <v>1826341</v>
      </c>
      <c r="C31" s="2">
        <v>1826305</v>
      </c>
      <c r="D31" s="2">
        <v>1829542</v>
      </c>
      <c r="E31" s="2">
        <v>1840672</v>
      </c>
      <c r="F31" s="2">
        <v>1853303</v>
      </c>
      <c r="G31" s="2">
        <v>1865279</v>
      </c>
      <c r="H31" s="2">
        <v>1879321</v>
      </c>
      <c r="I31" s="2">
        <v>1891277</v>
      </c>
      <c r="J31" s="2">
        <v>1905616</v>
      </c>
      <c r="K31" s="2">
        <v>1915947</v>
      </c>
      <c r="L31" s="2">
        <v>1925614</v>
      </c>
      <c r="M31" s="2">
        <v>1934408</v>
      </c>
    </row>
    <row r="32" spans="1:13" x14ac:dyDescent="0.25">
      <c r="A32" s="17" t="s">
        <v>28</v>
      </c>
      <c r="B32" s="2">
        <v>1316470</v>
      </c>
      <c r="C32" s="2">
        <v>1316462</v>
      </c>
      <c r="D32" s="2">
        <v>1316762</v>
      </c>
      <c r="E32" s="2">
        <v>1320202</v>
      </c>
      <c r="F32" s="2">
        <v>1324232</v>
      </c>
      <c r="G32" s="2">
        <v>1326622</v>
      </c>
      <c r="H32" s="2">
        <v>1333341</v>
      </c>
      <c r="I32" s="2">
        <v>1336350</v>
      </c>
      <c r="J32" s="2">
        <v>1342307</v>
      </c>
      <c r="K32" s="2">
        <v>1348787</v>
      </c>
      <c r="L32" s="2">
        <v>1353465</v>
      </c>
      <c r="M32" s="2">
        <v>1359711</v>
      </c>
    </row>
    <row r="33" spans="1:13" x14ac:dyDescent="0.25">
      <c r="A33" s="17" t="s">
        <v>29</v>
      </c>
      <c r="B33" s="2">
        <v>8791894</v>
      </c>
      <c r="C33" s="2">
        <v>8791978</v>
      </c>
      <c r="D33" s="2">
        <v>8799446</v>
      </c>
      <c r="E33" s="2">
        <v>8828117</v>
      </c>
      <c r="F33" s="2">
        <v>8844942</v>
      </c>
      <c r="G33" s="2">
        <v>8856972</v>
      </c>
      <c r="H33" s="2">
        <v>8864525</v>
      </c>
      <c r="I33" s="2">
        <v>8867949</v>
      </c>
      <c r="J33" s="2">
        <v>8870827</v>
      </c>
      <c r="K33" s="2">
        <v>8885525</v>
      </c>
      <c r="L33" s="2">
        <v>8886025</v>
      </c>
      <c r="M33" s="2">
        <v>8882190</v>
      </c>
    </row>
    <row r="34" spans="1:13" x14ac:dyDescent="0.25">
      <c r="A34" s="17" t="s">
        <v>30</v>
      </c>
      <c r="B34" s="2">
        <v>2059179</v>
      </c>
      <c r="C34" s="2">
        <v>2059199</v>
      </c>
      <c r="D34" s="2">
        <v>2064552</v>
      </c>
      <c r="E34" s="2">
        <v>2080450</v>
      </c>
      <c r="F34" s="2">
        <v>2087309</v>
      </c>
      <c r="G34" s="2">
        <v>2092273</v>
      </c>
      <c r="H34" s="2">
        <v>2089568</v>
      </c>
      <c r="I34" s="2">
        <v>2089291</v>
      </c>
      <c r="J34" s="2">
        <v>2091630</v>
      </c>
      <c r="K34" s="2">
        <v>2091784</v>
      </c>
      <c r="L34" s="2">
        <v>2092741</v>
      </c>
      <c r="M34" s="2">
        <v>2096829</v>
      </c>
    </row>
    <row r="35" spans="1:13" x14ac:dyDescent="0.25">
      <c r="A35" s="17" t="s">
        <v>31</v>
      </c>
      <c r="B35" s="2">
        <v>2700551</v>
      </c>
      <c r="C35" s="2">
        <v>2700677</v>
      </c>
      <c r="D35" s="2">
        <v>2702405</v>
      </c>
      <c r="E35" s="2">
        <v>2712730</v>
      </c>
      <c r="F35" s="2">
        <v>2743996</v>
      </c>
      <c r="G35" s="2">
        <v>2775970</v>
      </c>
      <c r="H35" s="2">
        <v>2817628</v>
      </c>
      <c r="I35" s="2">
        <v>2866939</v>
      </c>
      <c r="J35" s="2">
        <v>2917563</v>
      </c>
      <c r="K35" s="2">
        <v>2969905</v>
      </c>
      <c r="L35" s="2">
        <v>3027341</v>
      </c>
      <c r="M35" s="2">
        <v>3080156</v>
      </c>
    </row>
    <row r="36" spans="1:13" x14ac:dyDescent="0.25">
      <c r="A36" s="17" t="s">
        <v>32</v>
      </c>
      <c r="B36" s="2">
        <v>19378102</v>
      </c>
      <c r="C36" s="2">
        <v>19378144</v>
      </c>
      <c r="D36" s="2">
        <v>19399878</v>
      </c>
      <c r="E36" s="2">
        <v>19499241</v>
      </c>
      <c r="F36" s="2">
        <v>19572932</v>
      </c>
      <c r="G36" s="2">
        <v>19624447</v>
      </c>
      <c r="H36" s="2">
        <v>19651049</v>
      </c>
      <c r="I36" s="2">
        <v>19654666</v>
      </c>
      <c r="J36" s="2">
        <v>19633428</v>
      </c>
      <c r="K36" s="2">
        <v>19589572</v>
      </c>
      <c r="L36" s="2">
        <v>19530351</v>
      </c>
      <c r="M36" s="2">
        <v>19453561</v>
      </c>
    </row>
    <row r="37" spans="1:13" x14ac:dyDescent="0.25">
      <c r="A37" s="17" t="s">
        <v>56</v>
      </c>
      <c r="B37" s="2">
        <v>11536504</v>
      </c>
      <c r="C37" s="2">
        <v>11536751</v>
      </c>
      <c r="D37" s="2">
        <v>11539336</v>
      </c>
      <c r="E37" s="2">
        <v>11544663</v>
      </c>
      <c r="F37" s="2">
        <v>11548923</v>
      </c>
      <c r="G37" s="2">
        <v>11576684</v>
      </c>
      <c r="H37" s="2">
        <v>11602700</v>
      </c>
      <c r="I37" s="2">
        <v>11617527</v>
      </c>
      <c r="J37" s="2">
        <v>11634370</v>
      </c>
      <c r="K37" s="2">
        <v>11659650</v>
      </c>
      <c r="L37" s="2">
        <v>11676341</v>
      </c>
      <c r="M37" s="2">
        <v>11689100</v>
      </c>
    </row>
    <row r="38" spans="1:13" x14ac:dyDescent="0.25">
      <c r="A38" s="17" t="s">
        <v>57</v>
      </c>
      <c r="B38" s="2">
        <v>3751351</v>
      </c>
      <c r="C38" s="2">
        <v>3751582</v>
      </c>
      <c r="D38" s="2">
        <v>3759944</v>
      </c>
      <c r="E38" s="2">
        <v>3788379</v>
      </c>
      <c r="F38" s="2">
        <v>3818814</v>
      </c>
      <c r="G38" s="2">
        <v>3853214</v>
      </c>
      <c r="H38" s="2">
        <v>3878187</v>
      </c>
      <c r="I38" s="2">
        <v>3909500</v>
      </c>
      <c r="J38" s="2">
        <v>3926331</v>
      </c>
      <c r="K38" s="2">
        <v>3931316</v>
      </c>
      <c r="L38" s="2">
        <v>3940235</v>
      </c>
      <c r="M38" s="2">
        <v>3956971</v>
      </c>
    </row>
    <row r="39" spans="1:13" x14ac:dyDescent="0.25">
      <c r="A39" s="17" t="s">
        <v>33</v>
      </c>
      <c r="B39" s="2">
        <v>3831074</v>
      </c>
      <c r="C39" s="2">
        <v>3831079</v>
      </c>
      <c r="D39" s="2">
        <v>3837491</v>
      </c>
      <c r="E39" s="2">
        <v>3872036</v>
      </c>
      <c r="F39" s="2">
        <v>3899001</v>
      </c>
      <c r="G39" s="2">
        <v>3922468</v>
      </c>
      <c r="H39" s="2">
        <v>3963244</v>
      </c>
      <c r="I39" s="2">
        <v>4015792</v>
      </c>
      <c r="J39" s="2">
        <v>4089976</v>
      </c>
      <c r="K39" s="2">
        <v>4143625</v>
      </c>
      <c r="L39" s="2">
        <v>4181886</v>
      </c>
      <c r="M39" s="2">
        <v>4217737</v>
      </c>
    </row>
    <row r="40" spans="1:13" x14ac:dyDescent="0.25">
      <c r="A40" s="17" t="s">
        <v>34</v>
      </c>
      <c r="B40" s="2">
        <v>12702379</v>
      </c>
      <c r="C40" s="2">
        <v>12702868</v>
      </c>
      <c r="D40" s="2">
        <v>12711160</v>
      </c>
      <c r="E40" s="2">
        <v>12745815</v>
      </c>
      <c r="F40" s="2">
        <v>12767118</v>
      </c>
      <c r="G40" s="2">
        <v>12776309</v>
      </c>
      <c r="H40" s="2">
        <v>12788313</v>
      </c>
      <c r="I40" s="2">
        <v>12784826</v>
      </c>
      <c r="J40" s="2">
        <v>12782275</v>
      </c>
      <c r="K40" s="2">
        <v>12787641</v>
      </c>
      <c r="L40" s="2">
        <v>12800922</v>
      </c>
      <c r="M40" s="2">
        <v>12801989</v>
      </c>
    </row>
    <row r="41" spans="1:13" x14ac:dyDescent="0.25">
      <c r="A41" s="17" t="s">
        <v>35</v>
      </c>
      <c r="B41" s="2">
        <v>1052567</v>
      </c>
      <c r="C41" s="2">
        <v>1052964</v>
      </c>
      <c r="D41" s="2">
        <v>1053959</v>
      </c>
      <c r="E41" s="2">
        <v>1053649</v>
      </c>
      <c r="F41" s="2">
        <v>1054621</v>
      </c>
      <c r="G41" s="2">
        <v>1055081</v>
      </c>
      <c r="H41" s="2">
        <v>1055936</v>
      </c>
      <c r="I41" s="2">
        <v>1056065</v>
      </c>
      <c r="J41" s="2">
        <v>1056770</v>
      </c>
      <c r="K41" s="2">
        <v>1055673</v>
      </c>
      <c r="L41" s="2">
        <v>1058287</v>
      </c>
      <c r="M41" s="2">
        <v>1059361</v>
      </c>
    </row>
    <row r="42" spans="1:13" x14ac:dyDescent="0.25">
      <c r="A42" s="17" t="s">
        <v>58</v>
      </c>
      <c r="B42" s="2">
        <v>4625364</v>
      </c>
      <c r="C42" s="2">
        <v>4625366</v>
      </c>
      <c r="D42" s="2">
        <v>4635649</v>
      </c>
      <c r="E42" s="2">
        <v>4671994</v>
      </c>
      <c r="F42" s="2">
        <v>4717354</v>
      </c>
      <c r="G42" s="2">
        <v>4764080</v>
      </c>
      <c r="H42" s="2">
        <v>4823617</v>
      </c>
      <c r="I42" s="2">
        <v>4891938</v>
      </c>
      <c r="J42" s="2">
        <v>4957968</v>
      </c>
      <c r="K42" s="2">
        <v>5021268</v>
      </c>
      <c r="L42" s="2">
        <v>5084156</v>
      </c>
      <c r="M42" s="2">
        <v>5148714</v>
      </c>
    </row>
    <row r="43" spans="1:13" x14ac:dyDescent="0.25">
      <c r="A43" s="17" t="s">
        <v>66</v>
      </c>
      <c r="B43" s="2">
        <v>814180</v>
      </c>
      <c r="C43" s="2">
        <v>814198</v>
      </c>
      <c r="D43" s="2">
        <v>816166</v>
      </c>
      <c r="E43" s="2">
        <v>823579</v>
      </c>
      <c r="F43" s="2">
        <v>833566</v>
      </c>
      <c r="G43" s="2">
        <v>842316</v>
      </c>
      <c r="H43" s="2">
        <v>849129</v>
      </c>
      <c r="I43" s="2">
        <v>853988</v>
      </c>
      <c r="J43" s="2">
        <v>862996</v>
      </c>
      <c r="K43" s="2">
        <v>872868</v>
      </c>
      <c r="L43" s="2">
        <v>878698</v>
      </c>
      <c r="M43" s="2">
        <v>884659</v>
      </c>
    </row>
    <row r="44" spans="1:13" x14ac:dyDescent="0.25">
      <c r="A44" s="17" t="s">
        <v>124</v>
      </c>
      <c r="B44" s="2">
        <v>6346105</v>
      </c>
      <c r="C44" s="2">
        <v>6346276</v>
      </c>
      <c r="D44" s="2">
        <v>6355311</v>
      </c>
      <c r="E44" s="2">
        <v>6399291</v>
      </c>
      <c r="F44" s="2">
        <v>6453898</v>
      </c>
      <c r="G44" s="2">
        <v>6494340</v>
      </c>
      <c r="H44" s="2">
        <v>6541223</v>
      </c>
      <c r="I44" s="2">
        <v>6591170</v>
      </c>
      <c r="J44" s="2">
        <v>6646010</v>
      </c>
      <c r="K44" s="2">
        <v>6708799</v>
      </c>
      <c r="L44" s="2">
        <v>6771631</v>
      </c>
      <c r="M44" s="2">
        <v>6829174</v>
      </c>
    </row>
    <row r="45" spans="1:13" x14ac:dyDescent="0.25">
      <c r="A45" s="17" t="s">
        <v>59</v>
      </c>
      <c r="B45" s="2">
        <v>25145561</v>
      </c>
      <c r="C45" s="2">
        <v>25146091</v>
      </c>
      <c r="D45" s="2">
        <v>25241971</v>
      </c>
      <c r="E45" s="2">
        <v>25645629</v>
      </c>
      <c r="F45" s="2">
        <v>26084481</v>
      </c>
      <c r="G45" s="2">
        <v>26480266</v>
      </c>
      <c r="H45" s="2">
        <v>26964333</v>
      </c>
      <c r="I45" s="2">
        <v>27470056</v>
      </c>
      <c r="J45" s="2">
        <v>27914410</v>
      </c>
      <c r="K45" s="2">
        <v>28295273</v>
      </c>
      <c r="L45" s="2">
        <v>28628666</v>
      </c>
      <c r="M45" s="2">
        <v>28995881</v>
      </c>
    </row>
    <row r="46" spans="1:13" x14ac:dyDescent="0.25">
      <c r="A46" s="17" t="s">
        <v>67</v>
      </c>
      <c r="B46" s="2">
        <v>2763885</v>
      </c>
      <c r="C46" s="2">
        <v>2763891</v>
      </c>
      <c r="D46" s="2">
        <v>2775332</v>
      </c>
      <c r="E46" s="2">
        <v>2814384</v>
      </c>
      <c r="F46" s="2">
        <v>2853375</v>
      </c>
      <c r="G46" s="2">
        <v>2897640</v>
      </c>
      <c r="H46" s="2">
        <v>2936879</v>
      </c>
      <c r="I46" s="2">
        <v>2981835</v>
      </c>
      <c r="J46" s="2">
        <v>3041868</v>
      </c>
      <c r="K46" s="2">
        <v>3101042</v>
      </c>
      <c r="L46" s="2">
        <v>3153550</v>
      </c>
      <c r="M46" s="2">
        <v>3205958</v>
      </c>
    </row>
    <row r="47" spans="1:13" x14ac:dyDescent="0.25">
      <c r="A47" s="17" t="s">
        <v>36</v>
      </c>
      <c r="B47" s="2">
        <v>8001024</v>
      </c>
      <c r="C47" s="2">
        <v>8001049</v>
      </c>
      <c r="D47" s="2">
        <v>8023699</v>
      </c>
      <c r="E47" s="2">
        <v>8101155</v>
      </c>
      <c r="F47" s="2">
        <v>8185080</v>
      </c>
      <c r="G47" s="2">
        <v>8252427</v>
      </c>
      <c r="H47" s="2">
        <v>8310993</v>
      </c>
      <c r="I47" s="2">
        <v>8361808</v>
      </c>
      <c r="J47" s="2">
        <v>8410106</v>
      </c>
      <c r="K47" s="2">
        <v>8463587</v>
      </c>
      <c r="L47" s="2">
        <v>8501286</v>
      </c>
      <c r="M47" s="2">
        <v>8535519</v>
      </c>
    </row>
    <row r="48" spans="1:13" x14ac:dyDescent="0.25">
      <c r="A48" s="17" t="s">
        <v>37</v>
      </c>
      <c r="B48" s="2">
        <v>625741</v>
      </c>
      <c r="C48" s="2">
        <v>625737</v>
      </c>
      <c r="D48" s="2">
        <v>625879</v>
      </c>
      <c r="E48" s="2">
        <v>627049</v>
      </c>
      <c r="F48" s="2">
        <v>626090</v>
      </c>
      <c r="G48" s="2">
        <v>626210</v>
      </c>
      <c r="H48" s="2">
        <v>625214</v>
      </c>
      <c r="I48" s="2">
        <v>625216</v>
      </c>
      <c r="J48" s="2">
        <v>623657</v>
      </c>
      <c r="K48" s="2">
        <v>624344</v>
      </c>
      <c r="L48" s="2">
        <v>624358</v>
      </c>
      <c r="M48" s="2">
        <v>623989</v>
      </c>
    </row>
    <row r="49" spans="1:13" x14ac:dyDescent="0.25">
      <c r="A49" s="17" t="s">
        <v>38</v>
      </c>
      <c r="B49" s="2">
        <v>6724540</v>
      </c>
      <c r="C49" s="2">
        <v>6724540</v>
      </c>
      <c r="D49" s="2">
        <v>6742830</v>
      </c>
      <c r="E49" s="2">
        <v>6826627</v>
      </c>
      <c r="F49" s="2">
        <v>6897058</v>
      </c>
      <c r="G49" s="2">
        <v>6963985</v>
      </c>
      <c r="H49" s="2">
        <v>7054655</v>
      </c>
      <c r="I49" s="2">
        <v>7163657</v>
      </c>
      <c r="J49" s="2">
        <v>7294771</v>
      </c>
      <c r="K49" s="2">
        <v>7423362</v>
      </c>
      <c r="L49" s="2">
        <v>7523869</v>
      </c>
      <c r="M49" s="2">
        <v>7614893</v>
      </c>
    </row>
    <row r="50" spans="1:13" x14ac:dyDescent="0.25">
      <c r="A50" s="17" t="s">
        <v>39</v>
      </c>
      <c r="B50" s="2">
        <v>5686986</v>
      </c>
      <c r="C50" s="2">
        <v>5687285</v>
      </c>
      <c r="D50" s="2">
        <v>5690475</v>
      </c>
      <c r="E50" s="2">
        <v>5705288</v>
      </c>
      <c r="F50" s="2">
        <v>5719960</v>
      </c>
      <c r="G50" s="2">
        <v>5736754</v>
      </c>
      <c r="H50" s="2">
        <v>5751525</v>
      </c>
      <c r="I50" s="2">
        <v>5760940</v>
      </c>
      <c r="J50" s="2">
        <v>5772628</v>
      </c>
      <c r="K50" s="2">
        <v>5790186</v>
      </c>
      <c r="L50" s="2">
        <v>5807406</v>
      </c>
      <c r="M50" s="2">
        <v>5822434</v>
      </c>
    </row>
    <row r="51" spans="1:13" x14ac:dyDescent="0.25">
      <c r="A51" s="17" t="s">
        <v>60</v>
      </c>
      <c r="B51" s="2">
        <v>1852994</v>
      </c>
      <c r="C51" s="2">
        <v>1853018</v>
      </c>
      <c r="D51" s="2">
        <v>1854239</v>
      </c>
      <c r="E51" s="2">
        <v>1856301</v>
      </c>
      <c r="F51" s="2">
        <v>1856872</v>
      </c>
      <c r="G51" s="2">
        <v>1853914</v>
      </c>
      <c r="H51" s="2">
        <v>1849489</v>
      </c>
      <c r="I51" s="2">
        <v>1842050</v>
      </c>
      <c r="J51" s="2">
        <v>1831023</v>
      </c>
      <c r="K51" s="2">
        <v>1817004</v>
      </c>
      <c r="L51" s="2">
        <v>1804291</v>
      </c>
      <c r="M51" s="2">
        <v>1792147</v>
      </c>
    </row>
    <row r="52" spans="1:13" x14ac:dyDescent="0.25">
      <c r="A52" s="17" t="s">
        <v>61</v>
      </c>
      <c r="B52" s="2">
        <v>563626</v>
      </c>
      <c r="C52" s="2">
        <v>563775</v>
      </c>
      <c r="D52" s="2">
        <v>564487</v>
      </c>
      <c r="E52" s="2">
        <v>567299</v>
      </c>
      <c r="F52" s="2">
        <v>576305</v>
      </c>
      <c r="G52" s="2">
        <v>582122</v>
      </c>
      <c r="H52" s="2">
        <v>582531</v>
      </c>
      <c r="I52" s="2">
        <v>585613</v>
      </c>
      <c r="J52" s="2">
        <v>584215</v>
      </c>
      <c r="K52" s="2">
        <v>578931</v>
      </c>
      <c r="L52" s="2">
        <v>577601</v>
      </c>
      <c r="M52" s="2">
        <v>578759</v>
      </c>
    </row>
  </sheetData>
  <autoFilter ref="A1:M1" xr:uid="{00000000-0009-0000-0000-000006000000}">
    <sortState xmlns:xlrd2="http://schemas.microsoft.com/office/spreadsheetml/2017/richdata2" ref="A2:M52">
      <sortCondition ref="A1"/>
    </sortState>
  </autoFilter>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N68"/>
  <sheetViews>
    <sheetView workbookViewId="0">
      <pane ySplit="4" topLeftCell="A5" activePane="bottomLeft" state="frozen"/>
      <selection pane="bottomLeft" activeCell="A38" sqref="A38"/>
    </sheetView>
  </sheetViews>
  <sheetFormatPr defaultColWidth="9.140625" defaultRowHeight="15" x14ac:dyDescent="0.25"/>
  <cols>
    <col min="1" max="1" width="28.7109375" style="1" customWidth="1"/>
    <col min="2" max="2" width="28.7109375" style="19" customWidth="1"/>
    <col min="3" max="14" width="14.7109375" style="1" customWidth="1"/>
    <col min="15" max="16384" width="9.140625" style="1"/>
  </cols>
  <sheetData>
    <row r="1" spans="1:14" ht="2.25" customHeight="1" x14ac:dyDescent="0.25">
      <c r="A1" s="117" t="s">
        <v>68</v>
      </c>
      <c r="B1" s="117"/>
      <c r="C1" s="117"/>
      <c r="D1" s="117"/>
      <c r="E1" s="117"/>
      <c r="F1" s="117"/>
      <c r="G1" s="117"/>
      <c r="H1" s="117"/>
      <c r="I1" s="117"/>
      <c r="J1" s="117"/>
      <c r="K1" s="117"/>
      <c r="L1" s="117"/>
      <c r="M1" s="117"/>
      <c r="N1" s="117"/>
    </row>
    <row r="2" spans="1:14" ht="25.5" customHeight="1" x14ac:dyDescent="0.25">
      <c r="A2" s="118" t="s">
        <v>69</v>
      </c>
      <c r="B2" s="118"/>
      <c r="C2" s="119"/>
      <c r="D2" s="119"/>
      <c r="E2" s="119"/>
      <c r="F2" s="119"/>
      <c r="G2" s="119"/>
      <c r="H2" s="119"/>
      <c r="I2" s="119"/>
      <c r="J2" s="119"/>
      <c r="K2" s="119"/>
      <c r="L2" s="119"/>
      <c r="M2" s="119"/>
      <c r="N2" s="119"/>
    </row>
    <row r="3" spans="1:14" s="11" customFormat="1" x14ac:dyDescent="0.25">
      <c r="A3" s="120" t="s">
        <v>70</v>
      </c>
      <c r="B3" s="12"/>
      <c r="C3" s="124">
        <v>40269</v>
      </c>
      <c r="D3" s="123"/>
      <c r="E3" s="122" t="s">
        <v>71</v>
      </c>
      <c r="F3" s="123"/>
      <c r="G3" s="123"/>
      <c r="H3" s="123"/>
      <c r="I3" s="123"/>
      <c r="J3" s="123"/>
      <c r="K3" s="123"/>
      <c r="L3" s="123"/>
      <c r="M3" s="123"/>
      <c r="N3" s="123"/>
    </row>
    <row r="4" spans="1:14" s="10" customFormat="1" ht="25.5" x14ac:dyDescent="0.25">
      <c r="A4" s="121"/>
      <c r="B4" s="13"/>
      <c r="C4" s="59" t="s">
        <v>72</v>
      </c>
      <c r="D4" s="59" t="s">
        <v>73</v>
      </c>
      <c r="E4" s="59">
        <v>2010</v>
      </c>
      <c r="F4" s="59">
        <v>2011</v>
      </c>
      <c r="G4" s="59">
        <v>2012</v>
      </c>
      <c r="H4" s="59">
        <v>2013</v>
      </c>
      <c r="I4" s="59">
        <v>2014</v>
      </c>
      <c r="J4" s="59">
        <v>2015</v>
      </c>
      <c r="K4" s="59">
        <v>2016</v>
      </c>
      <c r="L4" s="59">
        <v>2017</v>
      </c>
      <c r="M4" s="59">
        <v>2018</v>
      </c>
      <c r="N4" s="59">
        <v>2019</v>
      </c>
    </row>
    <row r="5" spans="1:14" x14ac:dyDescent="0.25">
      <c r="A5" s="9" t="s">
        <v>74</v>
      </c>
      <c r="B5" s="14"/>
      <c r="C5" s="8">
        <v>308745538</v>
      </c>
      <c r="D5" s="8">
        <v>308758105</v>
      </c>
      <c r="E5" s="8">
        <v>309321666</v>
      </c>
      <c r="F5" s="8">
        <v>311556874</v>
      </c>
      <c r="G5" s="8">
        <v>313830990</v>
      </c>
      <c r="H5" s="8">
        <v>315993715</v>
      </c>
      <c r="I5" s="8">
        <v>318301008</v>
      </c>
      <c r="J5" s="8">
        <v>320635163</v>
      </c>
      <c r="K5" s="8">
        <v>322941311</v>
      </c>
      <c r="L5" s="8">
        <v>324985539</v>
      </c>
      <c r="M5" s="8">
        <v>326687501</v>
      </c>
      <c r="N5" s="8">
        <v>328239523</v>
      </c>
    </row>
    <row r="6" spans="1:14" x14ac:dyDescent="0.25">
      <c r="A6" s="7" t="s">
        <v>75</v>
      </c>
      <c r="B6" s="15"/>
      <c r="C6" s="2">
        <v>55317240</v>
      </c>
      <c r="D6" s="2">
        <v>55318443</v>
      </c>
      <c r="E6" s="2">
        <v>55380134</v>
      </c>
      <c r="F6" s="2">
        <v>55604223</v>
      </c>
      <c r="G6" s="2">
        <v>55775216</v>
      </c>
      <c r="H6" s="2">
        <v>55901806</v>
      </c>
      <c r="I6" s="2">
        <v>56006011</v>
      </c>
      <c r="J6" s="2">
        <v>56034684</v>
      </c>
      <c r="K6" s="2">
        <v>56042330</v>
      </c>
      <c r="L6" s="2">
        <v>56059240</v>
      </c>
      <c r="M6" s="2">
        <v>56046620</v>
      </c>
      <c r="N6" s="2">
        <v>55982803</v>
      </c>
    </row>
    <row r="7" spans="1:14" x14ac:dyDescent="0.25">
      <c r="A7" s="7" t="s">
        <v>76</v>
      </c>
      <c r="B7" s="15"/>
      <c r="C7" s="2">
        <v>66927001</v>
      </c>
      <c r="D7" s="2">
        <v>66929725</v>
      </c>
      <c r="E7" s="2">
        <v>66974416</v>
      </c>
      <c r="F7" s="2">
        <v>67157800</v>
      </c>
      <c r="G7" s="2">
        <v>67336743</v>
      </c>
      <c r="H7" s="2">
        <v>67560379</v>
      </c>
      <c r="I7" s="2">
        <v>67745167</v>
      </c>
      <c r="J7" s="2">
        <v>67860583</v>
      </c>
      <c r="K7" s="2">
        <v>67987540</v>
      </c>
      <c r="L7" s="2">
        <v>68126781</v>
      </c>
      <c r="M7" s="2">
        <v>68236628</v>
      </c>
      <c r="N7" s="2">
        <v>68329004</v>
      </c>
    </row>
    <row r="8" spans="1:14" x14ac:dyDescent="0.25">
      <c r="A8" s="7" t="s">
        <v>77</v>
      </c>
      <c r="B8" s="15"/>
      <c r="C8" s="2">
        <v>114555744</v>
      </c>
      <c r="D8" s="2">
        <v>114563030</v>
      </c>
      <c r="E8" s="2">
        <v>114866680</v>
      </c>
      <c r="F8" s="2">
        <v>116006522</v>
      </c>
      <c r="G8" s="2">
        <v>117241208</v>
      </c>
      <c r="H8" s="2">
        <v>118364400</v>
      </c>
      <c r="I8" s="2">
        <v>119624037</v>
      </c>
      <c r="J8" s="2">
        <v>120997341</v>
      </c>
      <c r="K8" s="2">
        <v>122351760</v>
      </c>
      <c r="L8" s="2">
        <v>123542189</v>
      </c>
      <c r="M8" s="2">
        <v>124569433</v>
      </c>
      <c r="N8" s="2">
        <v>125580448</v>
      </c>
    </row>
    <row r="9" spans="1:14" x14ac:dyDescent="0.25">
      <c r="A9" s="6" t="s">
        <v>78</v>
      </c>
      <c r="B9" s="16"/>
      <c r="C9" s="5">
        <v>71945553</v>
      </c>
      <c r="D9" s="5">
        <v>71946907</v>
      </c>
      <c r="E9" s="5">
        <v>72100436</v>
      </c>
      <c r="F9" s="5">
        <v>72788329</v>
      </c>
      <c r="G9" s="5">
        <v>73477823</v>
      </c>
      <c r="H9" s="5">
        <v>74167130</v>
      </c>
      <c r="I9" s="5">
        <v>74925793</v>
      </c>
      <c r="J9" s="5">
        <v>75742555</v>
      </c>
      <c r="K9" s="5">
        <v>76559681</v>
      </c>
      <c r="L9" s="5">
        <v>77257329</v>
      </c>
      <c r="M9" s="5">
        <v>77834820</v>
      </c>
      <c r="N9" s="5">
        <v>78347268</v>
      </c>
    </row>
    <row r="10" spans="1:14" ht="25.5" x14ac:dyDescent="0.25">
      <c r="A10" s="7" t="s">
        <v>5</v>
      </c>
      <c r="B10" s="15" t="s">
        <v>79</v>
      </c>
      <c r="C10" s="59" t="s">
        <v>72</v>
      </c>
      <c r="D10" s="59" t="s">
        <v>73</v>
      </c>
      <c r="E10" s="59">
        <v>2010</v>
      </c>
      <c r="F10" s="59">
        <v>2011</v>
      </c>
      <c r="G10" s="59">
        <v>2012</v>
      </c>
      <c r="H10" s="59">
        <v>2013</v>
      </c>
      <c r="I10" s="59">
        <v>2014</v>
      </c>
      <c r="J10" s="59">
        <v>2015</v>
      </c>
      <c r="K10" s="59">
        <v>2016</v>
      </c>
      <c r="L10" s="59">
        <v>2017</v>
      </c>
      <c r="M10" s="59">
        <v>2018</v>
      </c>
      <c r="N10" s="59">
        <v>2019</v>
      </c>
    </row>
    <row r="11" spans="1:14" x14ac:dyDescent="0.25">
      <c r="A11" s="4" t="s">
        <v>80</v>
      </c>
      <c r="B11" s="17" t="s">
        <v>40</v>
      </c>
      <c r="C11" s="2">
        <v>4779736</v>
      </c>
      <c r="D11" s="2">
        <v>4780125</v>
      </c>
      <c r="E11" s="2">
        <v>4785437</v>
      </c>
      <c r="F11" s="2">
        <v>4799069</v>
      </c>
      <c r="G11" s="2">
        <v>4815588</v>
      </c>
      <c r="H11" s="2">
        <v>4830081</v>
      </c>
      <c r="I11" s="2">
        <v>4841799</v>
      </c>
      <c r="J11" s="2">
        <v>4852347</v>
      </c>
      <c r="K11" s="2">
        <v>4863525</v>
      </c>
      <c r="L11" s="2">
        <v>4874486</v>
      </c>
      <c r="M11" s="2">
        <v>4887681</v>
      </c>
      <c r="N11" s="2">
        <v>4903185</v>
      </c>
    </row>
    <row r="12" spans="1:14" x14ac:dyDescent="0.25">
      <c r="A12" s="4" t="s">
        <v>81</v>
      </c>
      <c r="B12" s="17" t="s">
        <v>62</v>
      </c>
      <c r="C12" s="2">
        <v>710231</v>
      </c>
      <c r="D12" s="2">
        <v>710249</v>
      </c>
      <c r="E12" s="2">
        <v>713910</v>
      </c>
      <c r="F12" s="2">
        <v>722128</v>
      </c>
      <c r="G12" s="2">
        <v>730443</v>
      </c>
      <c r="H12" s="2">
        <v>737068</v>
      </c>
      <c r="I12" s="2">
        <v>736283</v>
      </c>
      <c r="J12" s="2">
        <v>737498</v>
      </c>
      <c r="K12" s="2">
        <v>741456</v>
      </c>
      <c r="L12" s="2">
        <v>739700</v>
      </c>
      <c r="M12" s="2">
        <v>735139</v>
      </c>
      <c r="N12" s="2">
        <v>731545</v>
      </c>
    </row>
    <row r="13" spans="1:14" x14ac:dyDescent="0.25">
      <c r="A13" s="4" t="s">
        <v>82</v>
      </c>
      <c r="B13" s="17" t="s">
        <v>42</v>
      </c>
      <c r="C13" s="2">
        <v>6392017</v>
      </c>
      <c r="D13" s="2">
        <v>6392288</v>
      </c>
      <c r="E13" s="2">
        <v>6407172</v>
      </c>
      <c r="F13" s="2">
        <v>6472643</v>
      </c>
      <c r="G13" s="2">
        <v>6554978</v>
      </c>
      <c r="H13" s="2">
        <v>6632764</v>
      </c>
      <c r="I13" s="2">
        <v>6730413</v>
      </c>
      <c r="J13" s="2">
        <v>6829676</v>
      </c>
      <c r="K13" s="2">
        <v>6941072</v>
      </c>
      <c r="L13" s="2">
        <v>7044008</v>
      </c>
      <c r="M13" s="2">
        <v>7158024</v>
      </c>
      <c r="N13" s="2">
        <v>7278717</v>
      </c>
    </row>
    <row r="14" spans="1:14" x14ac:dyDescent="0.25">
      <c r="A14" s="4" t="s">
        <v>83</v>
      </c>
      <c r="B14" s="17" t="s">
        <v>41</v>
      </c>
      <c r="C14" s="2">
        <v>2915918</v>
      </c>
      <c r="D14" s="2">
        <v>2916031</v>
      </c>
      <c r="E14" s="2">
        <v>2921964</v>
      </c>
      <c r="F14" s="2">
        <v>2940667</v>
      </c>
      <c r="G14" s="2">
        <v>2952164</v>
      </c>
      <c r="H14" s="2">
        <v>2959400</v>
      </c>
      <c r="I14" s="2">
        <v>2967392</v>
      </c>
      <c r="J14" s="2">
        <v>2978048</v>
      </c>
      <c r="K14" s="2">
        <v>2989918</v>
      </c>
      <c r="L14" s="2">
        <v>3001345</v>
      </c>
      <c r="M14" s="2">
        <v>3009733</v>
      </c>
      <c r="N14" s="2">
        <v>3017804</v>
      </c>
    </row>
    <row r="15" spans="1:14" x14ac:dyDescent="0.25">
      <c r="A15" s="4" t="s">
        <v>84</v>
      </c>
      <c r="B15" s="17" t="s">
        <v>18</v>
      </c>
      <c r="C15" s="2">
        <v>37253956</v>
      </c>
      <c r="D15" s="2">
        <v>37254519</v>
      </c>
      <c r="E15" s="2">
        <v>37319502</v>
      </c>
      <c r="F15" s="2">
        <v>37638369</v>
      </c>
      <c r="G15" s="2">
        <v>37948800</v>
      </c>
      <c r="H15" s="2">
        <v>38260787</v>
      </c>
      <c r="I15" s="2">
        <v>38596972</v>
      </c>
      <c r="J15" s="2">
        <v>38918045</v>
      </c>
      <c r="K15" s="2">
        <v>39167117</v>
      </c>
      <c r="L15" s="2">
        <v>39358497</v>
      </c>
      <c r="M15" s="2">
        <v>39461588</v>
      </c>
      <c r="N15" s="2">
        <v>39512223</v>
      </c>
    </row>
    <row r="16" spans="1:14" x14ac:dyDescent="0.25">
      <c r="A16" s="4" t="s">
        <v>85</v>
      </c>
      <c r="B16" s="17" t="s">
        <v>43</v>
      </c>
      <c r="C16" s="2">
        <v>5029196</v>
      </c>
      <c r="D16" s="2">
        <v>5029319</v>
      </c>
      <c r="E16" s="2">
        <v>5047349</v>
      </c>
      <c r="F16" s="2">
        <v>5121108</v>
      </c>
      <c r="G16" s="2">
        <v>5192647</v>
      </c>
      <c r="H16" s="2">
        <v>5269035</v>
      </c>
      <c r="I16" s="2">
        <v>5350101</v>
      </c>
      <c r="J16" s="2">
        <v>5450623</v>
      </c>
      <c r="K16" s="2">
        <v>5539215</v>
      </c>
      <c r="L16" s="2">
        <v>5611885</v>
      </c>
      <c r="M16" s="2">
        <v>5691287</v>
      </c>
      <c r="N16" s="2">
        <v>5758736</v>
      </c>
    </row>
    <row r="17" spans="1:14" x14ac:dyDescent="0.25">
      <c r="A17" s="4" t="s">
        <v>86</v>
      </c>
      <c r="B17" s="17" t="s">
        <v>19</v>
      </c>
      <c r="C17" s="2">
        <v>3574097</v>
      </c>
      <c r="D17" s="2">
        <v>3574147</v>
      </c>
      <c r="E17" s="2">
        <v>3579114</v>
      </c>
      <c r="F17" s="2">
        <v>3588283</v>
      </c>
      <c r="G17" s="2">
        <v>3594547</v>
      </c>
      <c r="H17" s="2">
        <v>3594841</v>
      </c>
      <c r="I17" s="2">
        <v>3594524</v>
      </c>
      <c r="J17" s="2">
        <v>3587122</v>
      </c>
      <c r="K17" s="2">
        <v>3578141</v>
      </c>
      <c r="L17" s="2">
        <v>3573297</v>
      </c>
      <c r="M17" s="2">
        <v>3571520</v>
      </c>
      <c r="N17" s="2">
        <v>3565287</v>
      </c>
    </row>
    <row r="18" spans="1:14" x14ac:dyDescent="0.25">
      <c r="A18" s="4" t="s">
        <v>87</v>
      </c>
      <c r="B18" s="17" t="s">
        <v>21</v>
      </c>
      <c r="C18" s="2">
        <v>897934</v>
      </c>
      <c r="D18" s="2">
        <v>897937</v>
      </c>
      <c r="E18" s="2">
        <v>899593</v>
      </c>
      <c r="F18" s="2">
        <v>907381</v>
      </c>
      <c r="G18" s="2">
        <v>915179</v>
      </c>
      <c r="H18" s="2">
        <v>923576</v>
      </c>
      <c r="I18" s="2">
        <v>932487</v>
      </c>
      <c r="J18" s="2">
        <v>941252</v>
      </c>
      <c r="K18" s="2">
        <v>948921</v>
      </c>
      <c r="L18" s="2">
        <v>956823</v>
      </c>
      <c r="M18" s="2">
        <v>965479</v>
      </c>
      <c r="N18" s="2">
        <v>973764</v>
      </c>
    </row>
    <row r="19" spans="1:14" x14ac:dyDescent="0.25">
      <c r="A19" s="4" t="s">
        <v>88</v>
      </c>
      <c r="B19" s="17" t="s">
        <v>20</v>
      </c>
      <c r="C19" s="2">
        <v>601723</v>
      </c>
      <c r="D19" s="2">
        <v>601767</v>
      </c>
      <c r="E19" s="2">
        <v>605226</v>
      </c>
      <c r="F19" s="2">
        <v>619800</v>
      </c>
      <c r="G19" s="2">
        <v>634924</v>
      </c>
      <c r="H19" s="2">
        <v>650581</v>
      </c>
      <c r="I19" s="2">
        <v>662328</v>
      </c>
      <c r="J19" s="2">
        <v>675400</v>
      </c>
      <c r="K19" s="2">
        <v>685815</v>
      </c>
      <c r="L19" s="2">
        <v>694906</v>
      </c>
      <c r="M19" s="2">
        <v>701547</v>
      </c>
      <c r="N19" s="2">
        <v>705749</v>
      </c>
    </row>
    <row r="20" spans="1:14" x14ac:dyDescent="0.25">
      <c r="A20" s="4" t="s">
        <v>89</v>
      </c>
      <c r="B20" s="17" t="s">
        <v>44</v>
      </c>
      <c r="C20" s="2">
        <v>18801310</v>
      </c>
      <c r="D20" s="2">
        <v>18804564</v>
      </c>
      <c r="E20" s="2">
        <v>18845537</v>
      </c>
      <c r="F20" s="2">
        <v>19053237</v>
      </c>
      <c r="G20" s="2">
        <v>19297822</v>
      </c>
      <c r="H20" s="2">
        <v>19545621</v>
      </c>
      <c r="I20" s="2">
        <v>19845911</v>
      </c>
      <c r="J20" s="2">
        <v>20209042</v>
      </c>
      <c r="K20" s="2">
        <v>20613477</v>
      </c>
      <c r="L20" s="2">
        <v>20963613</v>
      </c>
      <c r="M20" s="2">
        <v>21244317</v>
      </c>
      <c r="N20" s="2">
        <v>21477737</v>
      </c>
    </row>
    <row r="21" spans="1:14" x14ac:dyDescent="0.25">
      <c r="A21" s="4" t="s">
        <v>90</v>
      </c>
      <c r="B21" s="17" t="s">
        <v>45</v>
      </c>
      <c r="C21" s="2">
        <v>9687653</v>
      </c>
      <c r="D21" s="2">
        <v>9688729</v>
      </c>
      <c r="E21" s="2">
        <v>9711881</v>
      </c>
      <c r="F21" s="2">
        <v>9802431</v>
      </c>
      <c r="G21" s="2">
        <v>9901430</v>
      </c>
      <c r="H21" s="2">
        <v>9972479</v>
      </c>
      <c r="I21" s="2">
        <v>10067278</v>
      </c>
      <c r="J21" s="2">
        <v>10178447</v>
      </c>
      <c r="K21" s="2">
        <v>10301890</v>
      </c>
      <c r="L21" s="2">
        <v>10410330</v>
      </c>
      <c r="M21" s="2">
        <v>10511131</v>
      </c>
      <c r="N21" s="2">
        <v>10617423</v>
      </c>
    </row>
    <row r="22" spans="1:14" x14ac:dyDescent="0.25">
      <c r="A22" s="4" t="s">
        <v>91</v>
      </c>
      <c r="B22" s="17" t="s">
        <v>22</v>
      </c>
      <c r="C22" s="2">
        <v>1360301</v>
      </c>
      <c r="D22" s="2">
        <v>1360307</v>
      </c>
      <c r="E22" s="2">
        <v>1363963</v>
      </c>
      <c r="F22" s="2">
        <v>1379329</v>
      </c>
      <c r="G22" s="2">
        <v>1394804</v>
      </c>
      <c r="H22" s="2">
        <v>1408243</v>
      </c>
      <c r="I22" s="2">
        <v>1414538</v>
      </c>
      <c r="J22" s="2">
        <v>1422052</v>
      </c>
      <c r="K22" s="2">
        <v>1427559</v>
      </c>
      <c r="L22" s="2">
        <v>1424393</v>
      </c>
      <c r="M22" s="2">
        <v>1420593</v>
      </c>
      <c r="N22" s="2">
        <v>1415872</v>
      </c>
    </row>
    <row r="23" spans="1:14" x14ac:dyDescent="0.25">
      <c r="A23" s="4" t="s">
        <v>92</v>
      </c>
      <c r="B23" s="17" t="s">
        <v>47</v>
      </c>
      <c r="C23" s="2">
        <v>1567582</v>
      </c>
      <c r="D23" s="2">
        <v>1567657</v>
      </c>
      <c r="E23" s="2">
        <v>1570746</v>
      </c>
      <c r="F23" s="2">
        <v>1583910</v>
      </c>
      <c r="G23" s="2">
        <v>1595324</v>
      </c>
      <c r="H23" s="2">
        <v>1611206</v>
      </c>
      <c r="I23" s="2">
        <v>1631112</v>
      </c>
      <c r="J23" s="2">
        <v>1651059</v>
      </c>
      <c r="K23" s="2">
        <v>1682380</v>
      </c>
      <c r="L23" s="2">
        <v>1717715</v>
      </c>
      <c r="M23" s="2">
        <v>1750536</v>
      </c>
      <c r="N23" s="2">
        <v>1787065</v>
      </c>
    </row>
    <row r="24" spans="1:14" x14ac:dyDescent="0.25">
      <c r="A24" s="4" t="s">
        <v>93</v>
      </c>
      <c r="B24" s="17" t="s">
        <v>48</v>
      </c>
      <c r="C24" s="2">
        <v>12830632</v>
      </c>
      <c r="D24" s="2">
        <v>12831572</v>
      </c>
      <c r="E24" s="2">
        <v>12840503</v>
      </c>
      <c r="F24" s="2">
        <v>12867454</v>
      </c>
      <c r="G24" s="2">
        <v>12882510</v>
      </c>
      <c r="H24" s="2">
        <v>12895129</v>
      </c>
      <c r="I24" s="2">
        <v>12884493</v>
      </c>
      <c r="J24" s="2">
        <v>12858913</v>
      </c>
      <c r="K24" s="2">
        <v>12820527</v>
      </c>
      <c r="L24" s="2">
        <v>12778828</v>
      </c>
      <c r="M24" s="2">
        <v>12723071</v>
      </c>
      <c r="N24" s="2">
        <v>12671821</v>
      </c>
    </row>
    <row r="25" spans="1:14" x14ac:dyDescent="0.25">
      <c r="A25" s="4" t="s">
        <v>94</v>
      </c>
      <c r="B25" s="17" t="s">
        <v>49</v>
      </c>
      <c r="C25" s="2">
        <v>6483802</v>
      </c>
      <c r="D25" s="2">
        <v>6484051</v>
      </c>
      <c r="E25" s="2">
        <v>6490432</v>
      </c>
      <c r="F25" s="2">
        <v>6516528</v>
      </c>
      <c r="G25" s="2">
        <v>6537703</v>
      </c>
      <c r="H25" s="2">
        <v>6568713</v>
      </c>
      <c r="I25" s="2">
        <v>6593644</v>
      </c>
      <c r="J25" s="2">
        <v>6608422</v>
      </c>
      <c r="K25" s="2">
        <v>6634304</v>
      </c>
      <c r="L25" s="2">
        <v>6658078</v>
      </c>
      <c r="M25" s="2">
        <v>6695497</v>
      </c>
      <c r="N25" s="2">
        <v>6732219</v>
      </c>
    </row>
    <row r="26" spans="1:14" x14ac:dyDescent="0.25">
      <c r="A26" s="4" t="s">
        <v>95</v>
      </c>
      <c r="B26" s="17" t="s">
        <v>46</v>
      </c>
      <c r="C26" s="2">
        <v>3046355</v>
      </c>
      <c r="D26" s="2">
        <v>3046871</v>
      </c>
      <c r="E26" s="2">
        <v>3050745</v>
      </c>
      <c r="F26" s="2">
        <v>3066336</v>
      </c>
      <c r="G26" s="2">
        <v>3076190</v>
      </c>
      <c r="H26" s="2">
        <v>3092997</v>
      </c>
      <c r="I26" s="2">
        <v>3109350</v>
      </c>
      <c r="J26" s="2">
        <v>3120960</v>
      </c>
      <c r="K26" s="2">
        <v>3131371</v>
      </c>
      <c r="L26" s="2">
        <v>3141550</v>
      </c>
      <c r="M26" s="2">
        <v>3148618</v>
      </c>
      <c r="N26" s="2">
        <v>3155070</v>
      </c>
    </row>
    <row r="27" spans="1:14" x14ac:dyDescent="0.25">
      <c r="A27" s="4" t="s">
        <v>96</v>
      </c>
      <c r="B27" s="17" t="s">
        <v>50</v>
      </c>
      <c r="C27" s="2">
        <v>2853118</v>
      </c>
      <c r="D27" s="2">
        <v>2853123</v>
      </c>
      <c r="E27" s="2">
        <v>2858190</v>
      </c>
      <c r="F27" s="2">
        <v>2869225</v>
      </c>
      <c r="G27" s="2">
        <v>2885257</v>
      </c>
      <c r="H27" s="2">
        <v>2893212</v>
      </c>
      <c r="I27" s="2">
        <v>2900475</v>
      </c>
      <c r="J27" s="2">
        <v>2909011</v>
      </c>
      <c r="K27" s="2">
        <v>2910844</v>
      </c>
      <c r="L27" s="2">
        <v>2908718</v>
      </c>
      <c r="M27" s="2">
        <v>2911359</v>
      </c>
      <c r="N27" s="2">
        <v>2913314</v>
      </c>
    </row>
    <row r="28" spans="1:14" x14ac:dyDescent="0.25">
      <c r="A28" s="4" t="s">
        <v>97</v>
      </c>
      <c r="B28" s="17" t="s">
        <v>23</v>
      </c>
      <c r="C28" s="2">
        <v>4339367</v>
      </c>
      <c r="D28" s="2">
        <v>4339333</v>
      </c>
      <c r="E28" s="2">
        <v>4348181</v>
      </c>
      <c r="F28" s="2">
        <v>4369821</v>
      </c>
      <c r="G28" s="2">
        <v>4386346</v>
      </c>
      <c r="H28" s="2">
        <v>4404659</v>
      </c>
      <c r="I28" s="2">
        <v>4414349</v>
      </c>
      <c r="J28" s="2">
        <v>4425976</v>
      </c>
      <c r="K28" s="2">
        <v>4438182</v>
      </c>
      <c r="L28" s="2">
        <v>4452268</v>
      </c>
      <c r="M28" s="2">
        <v>4461153</v>
      </c>
      <c r="N28" s="2">
        <v>4467673</v>
      </c>
    </row>
    <row r="29" spans="1:14" x14ac:dyDescent="0.25">
      <c r="A29" s="4" t="s">
        <v>98</v>
      </c>
      <c r="B29" s="17" t="s">
        <v>51</v>
      </c>
      <c r="C29" s="2">
        <v>4533372</v>
      </c>
      <c r="D29" s="2">
        <v>4533487</v>
      </c>
      <c r="E29" s="2">
        <v>4544532</v>
      </c>
      <c r="F29" s="2">
        <v>4575625</v>
      </c>
      <c r="G29" s="2">
        <v>4600972</v>
      </c>
      <c r="H29" s="2">
        <v>4624527</v>
      </c>
      <c r="I29" s="2">
        <v>4644013</v>
      </c>
      <c r="J29" s="2">
        <v>4664628</v>
      </c>
      <c r="K29" s="2">
        <v>4678135</v>
      </c>
      <c r="L29" s="2">
        <v>4670560</v>
      </c>
      <c r="M29" s="2">
        <v>4659690</v>
      </c>
      <c r="N29" s="2">
        <v>4648794</v>
      </c>
    </row>
    <row r="30" spans="1:14" x14ac:dyDescent="0.25">
      <c r="A30" s="4" t="s">
        <v>99</v>
      </c>
      <c r="B30" s="17" t="s">
        <v>52</v>
      </c>
      <c r="C30" s="2">
        <v>1328361</v>
      </c>
      <c r="D30" s="2">
        <v>1328358</v>
      </c>
      <c r="E30" s="2">
        <v>1327629</v>
      </c>
      <c r="F30" s="2">
        <v>1328284</v>
      </c>
      <c r="G30" s="2">
        <v>1327729</v>
      </c>
      <c r="H30" s="2">
        <v>1328009</v>
      </c>
      <c r="I30" s="2">
        <v>1330513</v>
      </c>
      <c r="J30" s="2">
        <v>1328262</v>
      </c>
      <c r="K30" s="2">
        <v>1331317</v>
      </c>
      <c r="L30" s="2">
        <v>1334612</v>
      </c>
      <c r="M30" s="2">
        <v>1339057</v>
      </c>
      <c r="N30" s="2">
        <v>1344212</v>
      </c>
    </row>
    <row r="31" spans="1:14" x14ac:dyDescent="0.25">
      <c r="A31" s="4" t="s">
        <v>100</v>
      </c>
      <c r="B31" s="17" t="s">
        <v>25</v>
      </c>
      <c r="C31" s="2">
        <v>5773552</v>
      </c>
      <c r="D31" s="2">
        <v>5773794</v>
      </c>
      <c r="E31" s="2">
        <v>5788645</v>
      </c>
      <c r="F31" s="2">
        <v>5839419</v>
      </c>
      <c r="G31" s="2">
        <v>5886992</v>
      </c>
      <c r="H31" s="2">
        <v>5923188</v>
      </c>
      <c r="I31" s="2">
        <v>5957283</v>
      </c>
      <c r="J31" s="2">
        <v>5985562</v>
      </c>
      <c r="K31" s="2">
        <v>6003323</v>
      </c>
      <c r="L31" s="2">
        <v>6023868</v>
      </c>
      <c r="M31" s="2">
        <v>6035802</v>
      </c>
      <c r="N31" s="2">
        <v>6045680</v>
      </c>
    </row>
    <row r="32" spans="1:14" x14ac:dyDescent="0.25">
      <c r="A32" s="4" t="s">
        <v>101</v>
      </c>
      <c r="B32" s="17" t="s">
        <v>24</v>
      </c>
      <c r="C32" s="2">
        <v>6547629</v>
      </c>
      <c r="D32" s="2">
        <v>6547785</v>
      </c>
      <c r="E32" s="2">
        <v>6566307</v>
      </c>
      <c r="F32" s="2">
        <v>6613583</v>
      </c>
      <c r="G32" s="2">
        <v>6663005</v>
      </c>
      <c r="H32" s="2">
        <v>6713315</v>
      </c>
      <c r="I32" s="2">
        <v>6762596</v>
      </c>
      <c r="J32" s="2">
        <v>6794228</v>
      </c>
      <c r="K32" s="2">
        <v>6823608</v>
      </c>
      <c r="L32" s="2">
        <v>6859789</v>
      </c>
      <c r="M32" s="2">
        <v>6882635</v>
      </c>
      <c r="N32" s="2">
        <v>6892503</v>
      </c>
    </row>
    <row r="33" spans="1:14" x14ac:dyDescent="0.25">
      <c r="A33" s="4" t="s">
        <v>102</v>
      </c>
      <c r="B33" s="17" t="s">
        <v>26</v>
      </c>
      <c r="C33" s="2">
        <v>9883640</v>
      </c>
      <c r="D33" s="2">
        <v>9884116</v>
      </c>
      <c r="E33" s="2">
        <v>9877510</v>
      </c>
      <c r="F33" s="2">
        <v>9882412</v>
      </c>
      <c r="G33" s="2">
        <v>9897145</v>
      </c>
      <c r="H33" s="2">
        <v>9913065</v>
      </c>
      <c r="I33" s="2">
        <v>9929848</v>
      </c>
      <c r="J33" s="2">
        <v>9931715</v>
      </c>
      <c r="K33" s="2">
        <v>9950571</v>
      </c>
      <c r="L33" s="2">
        <v>9973114</v>
      </c>
      <c r="M33" s="2">
        <v>9984072</v>
      </c>
      <c r="N33" s="2">
        <v>9986857</v>
      </c>
    </row>
    <row r="34" spans="1:14" x14ac:dyDescent="0.25">
      <c r="A34" s="4" t="s">
        <v>103</v>
      </c>
      <c r="B34" s="17" t="s">
        <v>63</v>
      </c>
      <c r="C34" s="2">
        <v>5303925</v>
      </c>
      <c r="D34" s="2">
        <v>5303927</v>
      </c>
      <c r="E34" s="2">
        <v>5310828</v>
      </c>
      <c r="F34" s="2">
        <v>5346143</v>
      </c>
      <c r="G34" s="2">
        <v>5376643</v>
      </c>
      <c r="H34" s="2">
        <v>5413479</v>
      </c>
      <c r="I34" s="2">
        <v>5451079</v>
      </c>
      <c r="J34" s="2">
        <v>5482032</v>
      </c>
      <c r="K34" s="2">
        <v>5522744</v>
      </c>
      <c r="L34" s="2">
        <v>5566230</v>
      </c>
      <c r="M34" s="2">
        <v>5606249</v>
      </c>
      <c r="N34" s="2">
        <v>5639632</v>
      </c>
    </row>
    <row r="35" spans="1:14" x14ac:dyDescent="0.25">
      <c r="A35" s="4" t="s">
        <v>104</v>
      </c>
      <c r="B35" s="17" t="s">
        <v>54</v>
      </c>
      <c r="C35" s="2">
        <v>2967297</v>
      </c>
      <c r="D35" s="2">
        <v>2968130</v>
      </c>
      <c r="E35" s="2">
        <v>2970548</v>
      </c>
      <c r="F35" s="2">
        <v>2978731</v>
      </c>
      <c r="G35" s="2">
        <v>2983816</v>
      </c>
      <c r="H35" s="2">
        <v>2988711</v>
      </c>
      <c r="I35" s="2">
        <v>2990468</v>
      </c>
      <c r="J35" s="2">
        <v>2988471</v>
      </c>
      <c r="K35" s="2">
        <v>2987938</v>
      </c>
      <c r="L35" s="2">
        <v>2988510</v>
      </c>
      <c r="M35" s="2">
        <v>2981020</v>
      </c>
      <c r="N35" s="2">
        <v>2976149</v>
      </c>
    </row>
    <row r="36" spans="1:14" x14ac:dyDescent="0.25">
      <c r="A36" s="4" t="s">
        <v>105</v>
      </c>
      <c r="B36" s="17" t="s">
        <v>53</v>
      </c>
      <c r="C36" s="2">
        <v>5988927</v>
      </c>
      <c r="D36" s="2">
        <v>5988950</v>
      </c>
      <c r="E36" s="2">
        <v>5995974</v>
      </c>
      <c r="F36" s="2">
        <v>6010275</v>
      </c>
      <c r="G36" s="2">
        <v>6024367</v>
      </c>
      <c r="H36" s="2">
        <v>6040715</v>
      </c>
      <c r="I36" s="2">
        <v>6056202</v>
      </c>
      <c r="J36" s="2">
        <v>6071732</v>
      </c>
      <c r="K36" s="2">
        <v>6087135</v>
      </c>
      <c r="L36" s="2">
        <v>6106670</v>
      </c>
      <c r="M36" s="2">
        <v>6121623</v>
      </c>
      <c r="N36" s="2">
        <v>6137428</v>
      </c>
    </row>
    <row r="37" spans="1:14" x14ac:dyDescent="0.25">
      <c r="A37" s="4" t="s">
        <v>106</v>
      </c>
      <c r="B37" s="17" t="s">
        <v>64</v>
      </c>
      <c r="C37" s="2">
        <v>989415</v>
      </c>
      <c r="D37" s="2">
        <v>989407</v>
      </c>
      <c r="E37" s="2">
        <v>990697</v>
      </c>
      <c r="F37" s="2">
        <v>997316</v>
      </c>
      <c r="G37" s="2">
        <v>1003783</v>
      </c>
      <c r="H37" s="2">
        <v>1013569</v>
      </c>
      <c r="I37" s="2">
        <v>1021869</v>
      </c>
      <c r="J37" s="2">
        <v>1030475</v>
      </c>
      <c r="K37" s="2">
        <v>1040859</v>
      </c>
      <c r="L37" s="2">
        <v>1052482</v>
      </c>
      <c r="M37" s="2">
        <v>1060665</v>
      </c>
      <c r="N37" s="2">
        <v>1068778</v>
      </c>
    </row>
    <row r="38" spans="1:14" x14ac:dyDescent="0.25">
      <c r="A38" s="4" t="s">
        <v>107</v>
      </c>
      <c r="B38" s="17" t="s">
        <v>108</v>
      </c>
      <c r="C38" s="2">
        <v>1826341</v>
      </c>
      <c r="D38" s="2">
        <v>1826305</v>
      </c>
      <c r="E38" s="2">
        <v>1829542</v>
      </c>
      <c r="F38" s="2">
        <v>1840672</v>
      </c>
      <c r="G38" s="2">
        <v>1853303</v>
      </c>
      <c r="H38" s="2">
        <v>1865279</v>
      </c>
      <c r="I38" s="2">
        <v>1879321</v>
      </c>
      <c r="J38" s="2">
        <v>1891277</v>
      </c>
      <c r="K38" s="2">
        <v>1905616</v>
      </c>
      <c r="L38" s="2">
        <v>1915947</v>
      </c>
      <c r="M38" s="2">
        <v>1925614</v>
      </c>
      <c r="N38" s="2">
        <v>1934408</v>
      </c>
    </row>
    <row r="39" spans="1:14" x14ac:dyDescent="0.25">
      <c r="A39" s="4" t="s">
        <v>109</v>
      </c>
      <c r="B39" s="17" t="s">
        <v>31</v>
      </c>
      <c r="C39" s="2">
        <v>2700551</v>
      </c>
      <c r="D39" s="2">
        <v>2700677</v>
      </c>
      <c r="E39" s="2">
        <v>2702405</v>
      </c>
      <c r="F39" s="2">
        <v>2712730</v>
      </c>
      <c r="G39" s="2">
        <v>2743996</v>
      </c>
      <c r="H39" s="2">
        <v>2775970</v>
      </c>
      <c r="I39" s="2">
        <v>2817628</v>
      </c>
      <c r="J39" s="2">
        <v>2866939</v>
      </c>
      <c r="K39" s="2">
        <v>2917563</v>
      </c>
      <c r="L39" s="2">
        <v>2969905</v>
      </c>
      <c r="M39" s="2">
        <v>3027341</v>
      </c>
      <c r="N39" s="2">
        <v>3080156</v>
      </c>
    </row>
    <row r="40" spans="1:14" x14ac:dyDescent="0.25">
      <c r="A40" s="4" t="s">
        <v>110</v>
      </c>
      <c r="B40" s="17" t="s">
        <v>28</v>
      </c>
      <c r="C40" s="2">
        <v>1316470</v>
      </c>
      <c r="D40" s="2">
        <v>1316462</v>
      </c>
      <c r="E40" s="2">
        <v>1316762</v>
      </c>
      <c r="F40" s="2">
        <v>1320202</v>
      </c>
      <c r="G40" s="2">
        <v>1324232</v>
      </c>
      <c r="H40" s="2">
        <v>1326622</v>
      </c>
      <c r="I40" s="2">
        <v>1333341</v>
      </c>
      <c r="J40" s="2">
        <v>1336350</v>
      </c>
      <c r="K40" s="2">
        <v>1342307</v>
      </c>
      <c r="L40" s="2">
        <v>1348787</v>
      </c>
      <c r="M40" s="2">
        <v>1353465</v>
      </c>
      <c r="N40" s="2">
        <v>1359711</v>
      </c>
    </row>
    <row r="41" spans="1:14" x14ac:dyDescent="0.25">
      <c r="A41" s="4" t="s">
        <v>111</v>
      </c>
      <c r="B41" s="17" t="s">
        <v>29</v>
      </c>
      <c r="C41" s="2">
        <v>8791894</v>
      </c>
      <c r="D41" s="2">
        <v>8791978</v>
      </c>
      <c r="E41" s="2">
        <v>8799446</v>
      </c>
      <c r="F41" s="2">
        <v>8828117</v>
      </c>
      <c r="G41" s="2">
        <v>8844942</v>
      </c>
      <c r="H41" s="2">
        <v>8856972</v>
      </c>
      <c r="I41" s="2">
        <v>8864525</v>
      </c>
      <c r="J41" s="2">
        <v>8867949</v>
      </c>
      <c r="K41" s="2">
        <v>8870827</v>
      </c>
      <c r="L41" s="2">
        <v>8885525</v>
      </c>
      <c r="M41" s="2">
        <v>8886025</v>
      </c>
      <c r="N41" s="2">
        <v>8882190</v>
      </c>
    </row>
    <row r="42" spans="1:14" x14ac:dyDescent="0.25">
      <c r="A42" s="4" t="s">
        <v>112</v>
      </c>
      <c r="B42" s="17" t="s">
        <v>30</v>
      </c>
      <c r="C42" s="2">
        <v>2059179</v>
      </c>
      <c r="D42" s="2">
        <v>2059199</v>
      </c>
      <c r="E42" s="2">
        <v>2064552</v>
      </c>
      <c r="F42" s="2">
        <v>2080450</v>
      </c>
      <c r="G42" s="2">
        <v>2087309</v>
      </c>
      <c r="H42" s="2">
        <v>2092273</v>
      </c>
      <c r="I42" s="2">
        <v>2089568</v>
      </c>
      <c r="J42" s="2">
        <v>2089291</v>
      </c>
      <c r="K42" s="2">
        <v>2091630</v>
      </c>
      <c r="L42" s="2">
        <v>2091784</v>
      </c>
      <c r="M42" s="2">
        <v>2092741</v>
      </c>
      <c r="N42" s="2">
        <v>2096829</v>
      </c>
    </row>
    <row r="43" spans="1:14" x14ac:dyDescent="0.25">
      <c r="A43" s="4" t="s">
        <v>113</v>
      </c>
      <c r="B43" s="17" t="s">
        <v>32</v>
      </c>
      <c r="C43" s="2">
        <v>19378102</v>
      </c>
      <c r="D43" s="2">
        <v>19378144</v>
      </c>
      <c r="E43" s="2">
        <v>19399878</v>
      </c>
      <c r="F43" s="2">
        <v>19499241</v>
      </c>
      <c r="G43" s="2">
        <v>19572932</v>
      </c>
      <c r="H43" s="2">
        <v>19624447</v>
      </c>
      <c r="I43" s="2">
        <v>19651049</v>
      </c>
      <c r="J43" s="2">
        <v>19654666</v>
      </c>
      <c r="K43" s="2">
        <v>19633428</v>
      </c>
      <c r="L43" s="2">
        <v>19589572</v>
      </c>
      <c r="M43" s="2">
        <v>19530351</v>
      </c>
      <c r="N43" s="2">
        <v>19453561</v>
      </c>
    </row>
    <row r="44" spans="1:14" x14ac:dyDescent="0.25">
      <c r="A44" s="4" t="s">
        <v>114</v>
      </c>
      <c r="B44" s="17" t="s">
        <v>27</v>
      </c>
      <c r="C44" s="2">
        <v>9535483</v>
      </c>
      <c r="D44" s="2">
        <v>9535751</v>
      </c>
      <c r="E44" s="2">
        <v>9574323</v>
      </c>
      <c r="F44" s="2">
        <v>9657592</v>
      </c>
      <c r="G44" s="2">
        <v>9749476</v>
      </c>
      <c r="H44" s="2">
        <v>9843336</v>
      </c>
      <c r="I44" s="2">
        <v>9932887</v>
      </c>
      <c r="J44" s="2">
        <v>10031646</v>
      </c>
      <c r="K44" s="2">
        <v>10154788</v>
      </c>
      <c r="L44" s="2">
        <v>10268233</v>
      </c>
      <c r="M44" s="2">
        <v>10381615</v>
      </c>
      <c r="N44" s="2">
        <v>10488084</v>
      </c>
    </row>
    <row r="45" spans="1:14" x14ac:dyDescent="0.25">
      <c r="A45" s="4" t="s">
        <v>115</v>
      </c>
      <c r="B45" s="17" t="s">
        <v>65</v>
      </c>
      <c r="C45" s="2">
        <v>672591</v>
      </c>
      <c r="D45" s="2">
        <v>672576</v>
      </c>
      <c r="E45" s="2">
        <v>674715</v>
      </c>
      <c r="F45" s="2">
        <v>685225</v>
      </c>
      <c r="G45" s="2">
        <v>701176</v>
      </c>
      <c r="H45" s="2">
        <v>722036</v>
      </c>
      <c r="I45" s="2">
        <v>737401</v>
      </c>
      <c r="J45" s="2">
        <v>754066</v>
      </c>
      <c r="K45" s="2">
        <v>754434</v>
      </c>
      <c r="L45" s="2">
        <v>754942</v>
      </c>
      <c r="M45" s="2">
        <v>758080</v>
      </c>
      <c r="N45" s="2">
        <v>762062</v>
      </c>
    </row>
    <row r="46" spans="1:14" x14ac:dyDescent="0.25">
      <c r="A46" s="4" t="s">
        <v>116</v>
      </c>
      <c r="B46" s="17" t="s">
        <v>56</v>
      </c>
      <c r="C46" s="2">
        <v>11536504</v>
      </c>
      <c r="D46" s="2">
        <v>11536751</v>
      </c>
      <c r="E46" s="2">
        <v>11539336</v>
      </c>
      <c r="F46" s="2">
        <v>11544663</v>
      </c>
      <c r="G46" s="2">
        <v>11548923</v>
      </c>
      <c r="H46" s="2">
        <v>11576684</v>
      </c>
      <c r="I46" s="2">
        <v>11602700</v>
      </c>
      <c r="J46" s="2">
        <v>11617527</v>
      </c>
      <c r="K46" s="2">
        <v>11634370</v>
      </c>
      <c r="L46" s="2">
        <v>11659650</v>
      </c>
      <c r="M46" s="2">
        <v>11676341</v>
      </c>
      <c r="N46" s="2">
        <v>11689100</v>
      </c>
    </row>
    <row r="47" spans="1:14" x14ac:dyDescent="0.25">
      <c r="A47" s="4" t="s">
        <v>117</v>
      </c>
      <c r="B47" s="17" t="s">
        <v>57</v>
      </c>
      <c r="C47" s="2">
        <v>3751351</v>
      </c>
      <c r="D47" s="2">
        <v>3751582</v>
      </c>
      <c r="E47" s="2">
        <v>3759944</v>
      </c>
      <c r="F47" s="2">
        <v>3788379</v>
      </c>
      <c r="G47" s="2">
        <v>3818814</v>
      </c>
      <c r="H47" s="2">
        <v>3853214</v>
      </c>
      <c r="I47" s="2">
        <v>3878187</v>
      </c>
      <c r="J47" s="2">
        <v>3909500</v>
      </c>
      <c r="K47" s="2">
        <v>3926331</v>
      </c>
      <c r="L47" s="2">
        <v>3931316</v>
      </c>
      <c r="M47" s="2">
        <v>3940235</v>
      </c>
      <c r="N47" s="2">
        <v>3956971</v>
      </c>
    </row>
    <row r="48" spans="1:14" x14ac:dyDescent="0.25">
      <c r="A48" s="4" t="s">
        <v>118</v>
      </c>
      <c r="B48" s="17" t="s">
        <v>33</v>
      </c>
      <c r="C48" s="2">
        <v>3831074</v>
      </c>
      <c r="D48" s="2">
        <v>3831079</v>
      </c>
      <c r="E48" s="2">
        <v>3837491</v>
      </c>
      <c r="F48" s="2">
        <v>3872036</v>
      </c>
      <c r="G48" s="2">
        <v>3899001</v>
      </c>
      <c r="H48" s="2">
        <v>3922468</v>
      </c>
      <c r="I48" s="2">
        <v>3963244</v>
      </c>
      <c r="J48" s="2">
        <v>4015792</v>
      </c>
      <c r="K48" s="2">
        <v>4089976</v>
      </c>
      <c r="L48" s="2">
        <v>4143625</v>
      </c>
      <c r="M48" s="2">
        <v>4181886</v>
      </c>
      <c r="N48" s="2">
        <v>4217737</v>
      </c>
    </row>
    <row r="49" spans="1:14" x14ac:dyDescent="0.25">
      <c r="A49" s="4" t="s">
        <v>119</v>
      </c>
      <c r="B49" s="17" t="s">
        <v>34</v>
      </c>
      <c r="C49" s="2">
        <v>12702379</v>
      </c>
      <c r="D49" s="2">
        <v>12702868</v>
      </c>
      <c r="E49" s="2">
        <v>12711160</v>
      </c>
      <c r="F49" s="2">
        <v>12745815</v>
      </c>
      <c r="G49" s="2">
        <v>12767118</v>
      </c>
      <c r="H49" s="2">
        <v>12776309</v>
      </c>
      <c r="I49" s="2">
        <v>12788313</v>
      </c>
      <c r="J49" s="2">
        <v>12784826</v>
      </c>
      <c r="K49" s="2">
        <v>12782275</v>
      </c>
      <c r="L49" s="2">
        <v>12787641</v>
      </c>
      <c r="M49" s="2">
        <v>12800922</v>
      </c>
      <c r="N49" s="2">
        <v>12801989</v>
      </c>
    </row>
    <row r="50" spans="1:14" x14ac:dyDescent="0.25">
      <c r="A50" s="4" t="s">
        <v>120</v>
      </c>
      <c r="B50" s="17" t="s">
        <v>35</v>
      </c>
      <c r="C50" s="2">
        <v>1052567</v>
      </c>
      <c r="D50" s="2">
        <v>1052964</v>
      </c>
      <c r="E50" s="2">
        <v>1053959</v>
      </c>
      <c r="F50" s="2">
        <v>1053649</v>
      </c>
      <c r="G50" s="2">
        <v>1054621</v>
      </c>
      <c r="H50" s="2">
        <v>1055081</v>
      </c>
      <c r="I50" s="2">
        <v>1055936</v>
      </c>
      <c r="J50" s="2">
        <v>1056065</v>
      </c>
      <c r="K50" s="2">
        <v>1056770</v>
      </c>
      <c r="L50" s="2">
        <v>1055673</v>
      </c>
      <c r="M50" s="2">
        <v>1058287</v>
      </c>
      <c r="N50" s="2">
        <v>1059361</v>
      </c>
    </row>
    <row r="51" spans="1:14" x14ac:dyDescent="0.25">
      <c r="A51" s="4" t="s">
        <v>121</v>
      </c>
      <c r="B51" s="17" t="s">
        <v>58</v>
      </c>
      <c r="C51" s="2">
        <v>4625364</v>
      </c>
      <c r="D51" s="2">
        <v>4625366</v>
      </c>
      <c r="E51" s="2">
        <v>4635649</v>
      </c>
      <c r="F51" s="2">
        <v>4671994</v>
      </c>
      <c r="G51" s="2">
        <v>4717354</v>
      </c>
      <c r="H51" s="2">
        <v>4764080</v>
      </c>
      <c r="I51" s="2">
        <v>4823617</v>
      </c>
      <c r="J51" s="2">
        <v>4891938</v>
      </c>
      <c r="K51" s="2">
        <v>4957968</v>
      </c>
      <c r="L51" s="2">
        <v>5021268</v>
      </c>
      <c r="M51" s="2">
        <v>5084156</v>
      </c>
      <c r="N51" s="2">
        <v>5148714</v>
      </c>
    </row>
    <row r="52" spans="1:14" x14ac:dyDescent="0.25">
      <c r="A52" s="4" t="s">
        <v>122</v>
      </c>
      <c r="B52" s="17" t="s">
        <v>66</v>
      </c>
      <c r="C52" s="2">
        <v>814180</v>
      </c>
      <c r="D52" s="2">
        <v>814198</v>
      </c>
      <c r="E52" s="2">
        <v>816166</v>
      </c>
      <c r="F52" s="2">
        <v>823579</v>
      </c>
      <c r="G52" s="2">
        <v>833566</v>
      </c>
      <c r="H52" s="2">
        <v>842316</v>
      </c>
      <c r="I52" s="2">
        <v>849129</v>
      </c>
      <c r="J52" s="2">
        <v>853988</v>
      </c>
      <c r="K52" s="2">
        <v>862996</v>
      </c>
      <c r="L52" s="2">
        <v>872868</v>
      </c>
      <c r="M52" s="2">
        <v>878698</v>
      </c>
      <c r="N52" s="2">
        <v>884659</v>
      </c>
    </row>
    <row r="53" spans="1:14" x14ac:dyDescent="0.25">
      <c r="A53" s="4" t="s">
        <v>123</v>
      </c>
      <c r="B53" s="17" t="s">
        <v>124</v>
      </c>
      <c r="C53" s="2">
        <v>6346105</v>
      </c>
      <c r="D53" s="2">
        <v>6346276</v>
      </c>
      <c r="E53" s="2">
        <v>6355311</v>
      </c>
      <c r="F53" s="2">
        <v>6399291</v>
      </c>
      <c r="G53" s="2">
        <v>6453898</v>
      </c>
      <c r="H53" s="2">
        <v>6494340</v>
      </c>
      <c r="I53" s="2">
        <v>6541223</v>
      </c>
      <c r="J53" s="2">
        <v>6591170</v>
      </c>
      <c r="K53" s="2">
        <v>6646010</v>
      </c>
      <c r="L53" s="2">
        <v>6708799</v>
      </c>
      <c r="M53" s="2">
        <v>6771631</v>
      </c>
      <c r="N53" s="2">
        <v>6829174</v>
      </c>
    </row>
    <row r="54" spans="1:14" x14ac:dyDescent="0.25">
      <c r="A54" s="4" t="s">
        <v>125</v>
      </c>
      <c r="B54" s="17" t="s">
        <v>59</v>
      </c>
      <c r="C54" s="2">
        <v>25145561</v>
      </c>
      <c r="D54" s="2">
        <v>25146091</v>
      </c>
      <c r="E54" s="2">
        <v>25241971</v>
      </c>
      <c r="F54" s="2">
        <v>25645629</v>
      </c>
      <c r="G54" s="2">
        <v>26084481</v>
      </c>
      <c r="H54" s="2">
        <v>26480266</v>
      </c>
      <c r="I54" s="2">
        <v>26964333</v>
      </c>
      <c r="J54" s="2">
        <v>27470056</v>
      </c>
      <c r="K54" s="2">
        <v>27914410</v>
      </c>
      <c r="L54" s="2">
        <v>28295273</v>
      </c>
      <c r="M54" s="2">
        <v>28628666</v>
      </c>
      <c r="N54" s="2">
        <v>28995881</v>
      </c>
    </row>
    <row r="55" spans="1:14" x14ac:dyDescent="0.25">
      <c r="A55" s="4" t="s">
        <v>126</v>
      </c>
      <c r="B55" s="17" t="s">
        <v>127</v>
      </c>
      <c r="C55" s="2">
        <v>2763885</v>
      </c>
      <c r="D55" s="2">
        <v>2763891</v>
      </c>
      <c r="E55" s="2">
        <v>2775332</v>
      </c>
      <c r="F55" s="2">
        <v>2814384</v>
      </c>
      <c r="G55" s="2">
        <v>2853375</v>
      </c>
      <c r="H55" s="2">
        <v>2897640</v>
      </c>
      <c r="I55" s="2">
        <v>2936879</v>
      </c>
      <c r="J55" s="2">
        <v>2981835</v>
      </c>
      <c r="K55" s="2">
        <v>3041868</v>
      </c>
      <c r="L55" s="2">
        <v>3101042</v>
      </c>
      <c r="M55" s="2">
        <v>3153550</v>
      </c>
      <c r="N55" s="2">
        <v>3205958</v>
      </c>
    </row>
    <row r="56" spans="1:14" x14ac:dyDescent="0.25">
      <c r="A56" s="4" t="s">
        <v>128</v>
      </c>
      <c r="B56" s="17" t="s">
        <v>37</v>
      </c>
      <c r="C56" s="2">
        <v>625741</v>
      </c>
      <c r="D56" s="2">
        <v>625737</v>
      </c>
      <c r="E56" s="2">
        <v>625879</v>
      </c>
      <c r="F56" s="2">
        <v>627049</v>
      </c>
      <c r="G56" s="2">
        <v>626090</v>
      </c>
      <c r="H56" s="2">
        <v>626210</v>
      </c>
      <c r="I56" s="2">
        <v>625214</v>
      </c>
      <c r="J56" s="2">
        <v>625216</v>
      </c>
      <c r="K56" s="2">
        <v>623657</v>
      </c>
      <c r="L56" s="2">
        <v>624344</v>
      </c>
      <c r="M56" s="2">
        <v>624358</v>
      </c>
      <c r="N56" s="2">
        <v>623989</v>
      </c>
    </row>
    <row r="57" spans="1:14" x14ac:dyDescent="0.25">
      <c r="A57" s="4" t="s">
        <v>129</v>
      </c>
      <c r="B57" s="17" t="s">
        <v>36</v>
      </c>
      <c r="C57" s="2">
        <v>8001024</v>
      </c>
      <c r="D57" s="2">
        <v>8001049</v>
      </c>
      <c r="E57" s="2">
        <v>8023699</v>
      </c>
      <c r="F57" s="2">
        <v>8101155</v>
      </c>
      <c r="G57" s="2">
        <v>8185080</v>
      </c>
      <c r="H57" s="2">
        <v>8252427</v>
      </c>
      <c r="I57" s="2">
        <v>8310993</v>
      </c>
      <c r="J57" s="2">
        <v>8361808</v>
      </c>
      <c r="K57" s="2">
        <v>8410106</v>
      </c>
      <c r="L57" s="2">
        <v>8463587</v>
      </c>
      <c r="M57" s="2">
        <v>8501286</v>
      </c>
      <c r="N57" s="2">
        <v>8535519</v>
      </c>
    </row>
    <row r="58" spans="1:14" x14ac:dyDescent="0.25">
      <c r="A58" s="4" t="s">
        <v>130</v>
      </c>
      <c r="B58" s="17" t="s">
        <v>38</v>
      </c>
      <c r="C58" s="2">
        <v>6724540</v>
      </c>
      <c r="D58" s="2">
        <v>6724540</v>
      </c>
      <c r="E58" s="2">
        <v>6742830</v>
      </c>
      <c r="F58" s="2">
        <v>6826627</v>
      </c>
      <c r="G58" s="2">
        <v>6897058</v>
      </c>
      <c r="H58" s="2">
        <v>6963985</v>
      </c>
      <c r="I58" s="2">
        <v>7054655</v>
      </c>
      <c r="J58" s="2">
        <v>7163657</v>
      </c>
      <c r="K58" s="2">
        <v>7294771</v>
      </c>
      <c r="L58" s="2">
        <v>7423362</v>
      </c>
      <c r="M58" s="2">
        <v>7523869</v>
      </c>
      <c r="N58" s="2">
        <v>7614893</v>
      </c>
    </row>
    <row r="59" spans="1:14" x14ac:dyDescent="0.25">
      <c r="A59" s="4" t="s">
        <v>131</v>
      </c>
      <c r="B59" s="17" t="s">
        <v>60</v>
      </c>
      <c r="C59" s="2">
        <v>1852994</v>
      </c>
      <c r="D59" s="2">
        <v>1853018</v>
      </c>
      <c r="E59" s="2">
        <v>1854239</v>
      </c>
      <c r="F59" s="2">
        <v>1856301</v>
      </c>
      <c r="G59" s="2">
        <v>1856872</v>
      </c>
      <c r="H59" s="2">
        <v>1853914</v>
      </c>
      <c r="I59" s="2">
        <v>1849489</v>
      </c>
      <c r="J59" s="2">
        <v>1842050</v>
      </c>
      <c r="K59" s="2">
        <v>1831023</v>
      </c>
      <c r="L59" s="2">
        <v>1817004</v>
      </c>
      <c r="M59" s="2">
        <v>1804291</v>
      </c>
      <c r="N59" s="2">
        <v>1792147</v>
      </c>
    </row>
    <row r="60" spans="1:14" x14ac:dyDescent="0.25">
      <c r="A60" s="4" t="s">
        <v>132</v>
      </c>
      <c r="B60" s="17" t="s">
        <v>39</v>
      </c>
      <c r="C60" s="2">
        <v>5686986</v>
      </c>
      <c r="D60" s="2">
        <v>5687285</v>
      </c>
      <c r="E60" s="2">
        <v>5690475</v>
      </c>
      <c r="F60" s="2">
        <v>5705288</v>
      </c>
      <c r="G60" s="2">
        <v>5719960</v>
      </c>
      <c r="H60" s="2">
        <v>5736754</v>
      </c>
      <c r="I60" s="2">
        <v>5751525</v>
      </c>
      <c r="J60" s="2">
        <v>5760940</v>
      </c>
      <c r="K60" s="2">
        <v>5772628</v>
      </c>
      <c r="L60" s="2">
        <v>5790186</v>
      </c>
      <c r="M60" s="2">
        <v>5807406</v>
      </c>
      <c r="N60" s="2">
        <v>5822434</v>
      </c>
    </row>
    <row r="61" spans="1:14" x14ac:dyDescent="0.25">
      <c r="A61" s="4" t="s">
        <v>133</v>
      </c>
      <c r="B61" s="17" t="s">
        <v>61</v>
      </c>
      <c r="C61" s="2">
        <v>563626</v>
      </c>
      <c r="D61" s="2">
        <v>563775</v>
      </c>
      <c r="E61" s="2">
        <v>564487</v>
      </c>
      <c r="F61" s="2">
        <v>567299</v>
      </c>
      <c r="G61" s="2">
        <v>576305</v>
      </c>
      <c r="H61" s="2">
        <v>582122</v>
      </c>
      <c r="I61" s="2">
        <v>582531</v>
      </c>
      <c r="J61" s="2">
        <v>585613</v>
      </c>
      <c r="K61" s="2">
        <v>584215</v>
      </c>
      <c r="L61" s="2">
        <v>578931</v>
      </c>
      <c r="M61" s="2">
        <v>577601</v>
      </c>
      <c r="N61" s="2">
        <v>578759</v>
      </c>
    </row>
    <row r="62" spans="1:14" x14ac:dyDescent="0.25">
      <c r="A62" s="4"/>
      <c r="B62" s="17"/>
      <c r="C62" s="2"/>
      <c r="D62" s="2"/>
      <c r="E62" s="2"/>
      <c r="F62" s="2"/>
      <c r="G62" s="2"/>
      <c r="H62" s="2"/>
      <c r="I62" s="2"/>
      <c r="J62" s="2"/>
      <c r="K62" s="2"/>
      <c r="L62" s="2"/>
      <c r="M62" s="2"/>
      <c r="N62" s="2"/>
    </row>
    <row r="63" spans="1:14" x14ac:dyDescent="0.25">
      <c r="A63" s="3" t="s">
        <v>134</v>
      </c>
      <c r="B63" s="18"/>
      <c r="C63" s="2">
        <v>3725789</v>
      </c>
      <c r="D63" s="2">
        <v>3726157</v>
      </c>
      <c r="E63" s="2">
        <v>3721525</v>
      </c>
      <c r="F63" s="2">
        <v>3678732</v>
      </c>
      <c r="G63" s="2">
        <v>3634488</v>
      </c>
      <c r="H63" s="2">
        <v>3593077</v>
      </c>
      <c r="I63" s="2">
        <v>3534874</v>
      </c>
      <c r="J63" s="2">
        <v>3473232</v>
      </c>
      <c r="K63" s="2">
        <v>3406672</v>
      </c>
      <c r="L63" s="2">
        <v>3325286</v>
      </c>
      <c r="M63" s="2">
        <v>3193354</v>
      </c>
      <c r="N63" s="2">
        <v>3193694</v>
      </c>
    </row>
    <row r="64" spans="1:14" ht="36" customHeight="1" x14ac:dyDescent="0.25">
      <c r="A64" s="125" t="s">
        <v>135</v>
      </c>
      <c r="B64" s="126"/>
      <c r="C64" s="127"/>
      <c r="D64" s="127"/>
      <c r="E64" s="127"/>
      <c r="F64" s="127"/>
      <c r="G64" s="127"/>
      <c r="H64" s="127"/>
      <c r="I64" s="127"/>
      <c r="J64" s="127"/>
      <c r="K64" s="127"/>
      <c r="L64" s="127"/>
      <c r="M64" s="127"/>
      <c r="N64" s="128"/>
    </row>
    <row r="65" spans="1:14" x14ac:dyDescent="0.25">
      <c r="A65" s="105" t="s">
        <v>136</v>
      </c>
      <c r="B65" s="106"/>
      <c r="C65" s="107"/>
      <c r="D65" s="107"/>
      <c r="E65" s="107"/>
      <c r="F65" s="107"/>
      <c r="G65" s="107"/>
      <c r="H65" s="107"/>
      <c r="I65" s="107"/>
      <c r="J65" s="107"/>
      <c r="K65" s="107"/>
      <c r="L65" s="107"/>
      <c r="M65" s="107"/>
      <c r="N65" s="108"/>
    </row>
    <row r="66" spans="1:14" ht="12.75" customHeight="1" x14ac:dyDescent="0.25">
      <c r="A66" s="109" t="s">
        <v>137</v>
      </c>
      <c r="B66" s="110"/>
      <c r="C66" s="111"/>
      <c r="D66" s="111"/>
      <c r="E66" s="111"/>
      <c r="F66" s="111"/>
      <c r="G66" s="111"/>
      <c r="H66" s="111"/>
      <c r="I66" s="111"/>
      <c r="J66" s="111"/>
      <c r="K66" s="111"/>
      <c r="L66" s="111"/>
      <c r="M66" s="111"/>
      <c r="N66" s="112"/>
    </row>
    <row r="67" spans="1:14" x14ac:dyDescent="0.25">
      <c r="A67" s="109" t="s">
        <v>138</v>
      </c>
      <c r="B67" s="110"/>
      <c r="C67" s="111"/>
      <c r="D67" s="111"/>
      <c r="E67" s="111"/>
      <c r="F67" s="111"/>
      <c r="G67" s="111"/>
      <c r="H67" s="111"/>
      <c r="I67" s="111"/>
      <c r="J67" s="111"/>
      <c r="K67" s="111"/>
      <c r="L67" s="111"/>
      <c r="M67" s="111"/>
      <c r="N67" s="112"/>
    </row>
    <row r="68" spans="1:14" x14ac:dyDescent="0.25">
      <c r="A68" s="113" t="s">
        <v>139</v>
      </c>
      <c r="B68" s="114"/>
      <c r="C68" s="115"/>
      <c r="D68" s="115"/>
      <c r="E68" s="115"/>
      <c r="F68" s="115"/>
      <c r="G68" s="115"/>
      <c r="H68" s="115"/>
      <c r="I68" s="115"/>
      <c r="J68" s="115"/>
      <c r="K68" s="115"/>
      <c r="L68" s="115"/>
      <c r="M68" s="115"/>
      <c r="N68" s="116"/>
    </row>
  </sheetData>
  <mergeCells count="10">
    <mergeCell ref="A65:N65"/>
    <mergeCell ref="A66:N66"/>
    <mergeCell ref="A67:N67"/>
    <mergeCell ref="A68:N68"/>
    <mergeCell ref="A1:N1"/>
    <mergeCell ref="A2:N2"/>
    <mergeCell ref="A3:A4"/>
    <mergeCell ref="E3:N3"/>
    <mergeCell ref="C3:D3"/>
    <mergeCell ref="A64:N64"/>
  </mergeCells>
  <pageMargins left="0.25" right="0.25" top="0.75" bottom="1" header="0.5" footer="0.5"/>
  <pageSetup scale="80" orientation="landscape" horizontalDpi="90" verticalDpi="90" r:id="rId1"/>
  <headerFooter alignWithMargins="0"/>
  <colBreaks count="1" manualBreakCount="1">
    <brk id="14"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F45BB49-3A70-4C3D-ADCF-9FE5C5773D3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21</vt:i4>
      </vt:variant>
      <vt:variant>
        <vt:lpstr>Named Ranges</vt:lpstr>
      </vt:variant>
      <vt:variant>
        <vt:i4>3</vt:i4>
      </vt:variant>
    </vt:vector>
  </HeadingPairs>
  <TitlesOfParts>
    <vt:vector size="30" baseType="lpstr">
      <vt:lpstr>DATA LINKS</vt:lpstr>
      <vt:lpstr>Stratified Scenario Model</vt:lpstr>
      <vt:lpstr>Stratified Scenario Model PEP</vt:lpstr>
      <vt:lpstr>Stratified Scenario Model Kerry</vt:lpstr>
      <vt:lpstr>Census Data</vt:lpstr>
      <vt:lpstr>NST01</vt:lpstr>
      <vt:lpstr>High Risk Quadrant</vt:lpstr>
      <vt:lpstr>Lower Risk Quadrant</vt:lpstr>
      <vt:lpstr>Medium Risk Quadrant</vt:lpstr>
      <vt:lpstr>Medium Risk Quadrant TPR</vt:lpstr>
      <vt:lpstr>Medium Risk Quadrant TPR PEP</vt:lpstr>
      <vt:lpstr>Medium Risk Quadrant TPR Kerry</vt:lpstr>
      <vt:lpstr>Highest Risk Quadrant</vt:lpstr>
      <vt:lpstr>Highest Risk Quadrant TPR</vt:lpstr>
      <vt:lpstr>Highest Risk Quadrant TPR PEP</vt:lpstr>
      <vt:lpstr>Highest Risk Quadrant TPR Kerry</vt:lpstr>
      <vt:lpstr>All TPR </vt:lpstr>
      <vt:lpstr>All TPR PEP </vt:lpstr>
      <vt:lpstr>All TPR Kerry</vt:lpstr>
      <vt:lpstr>FourQuadrant Cuml Death Rate</vt:lpstr>
      <vt:lpstr>FourQuadrant 7 day</vt:lpstr>
      <vt:lpstr>Tests Per 100K Population</vt:lpstr>
      <vt:lpstr>Tests Per 100K Pop PEP</vt:lpstr>
      <vt:lpstr>Tests Per 100K Pop Kerry</vt:lpstr>
      <vt:lpstr>Positive Tests Per 100K </vt:lpstr>
      <vt:lpstr>Positive Tests Per 100K PEP</vt:lpstr>
      <vt:lpstr>Positive Tests Per 100K Kerry</vt:lpstr>
      <vt:lpstr>_NST01</vt:lpstr>
      <vt:lpstr>'NST01'!Print_Area</vt:lpstr>
      <vt:lpstr>'NST01'!Print_Titles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Miller</dc:creator>
  <cp:keywords/>
  <dc:description/>
  <cp:lastModifiedBy>King Castro</cp:lastModifiedBy>
  <cp:revision/>
  <dcterms:created xsi:type="dcterms:W3CDTF">2020-04-30T00:38:18Z</dcterms:created>
  <dcterms:modified xsi:type="dcterms:W3CDTF">2020-08-04T14:53:32Z</dcterms:modified>
  <cp:category/>
  <cp:contentStatus/>
</cp:coreProperties>
</file>